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xl/_rels/workbook.xml.rels" ContentType="application/vnd.openxmlformats-package.relationships+xml"/>
  <Override PartName="/xl/worksheets/sheet3.xml" ContentType="application/vnd.openxmlformats-officedocument.spreadsheetml.worksheet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/chart7.xml" ContentType="application/vnd.openxmlformats-officedocument.drawingml.chart+xml"/>
  <Override PartName="/xl/charts/chart4.xml" ContentType="application/vnd.openxmlformats-officedocument.drawingml.chart+xml"/>
  <Override PartName="/xl/charts/chart8.xml" ContentType="application/vnd.openxmlformats-officedocument.drawingml.chart+xml"/>
  <Override PartName="/xl/charts/chart1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6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activeTab="1" firstSheet="0" showHorizontalScroll="true" showSheetTabs="true" showVerticalScroll="true" tabRatio="648" windowHeight="8192" windowWidth="16384" xWindow="0" yWindow="0"/>
  </bookViews>
  <sheets>
    <sheet name="Notes" sheetId="1" state="visible" r:id="rId2"/>
    <sheet name="test_write" sheetId="2" state="visible" r:id="rId3"/>
    <sheet name="Summary 11n" sheetId="3" state="visible" r:id="rId4"/>
    <sheet name="Summary 15.4" sheetId="4" state="visible" r:id="rId5"/>
  </sheets>
  <definedNames>
    <definedName function="false" hidden="false" name="attenuation_2.4" vbProcedure="false">test_write!$J$6:$J$8</definedName>
    <definedName function="false" hidden="false" name="attenuation_2.4_1" vbProcedure="false">#REF!!$J$6:$J$8</definedName>
    <definedName function="false" hidden="false" name="attenuation_2.4_2" vbProcedure="false">#REF!!$J$6:$J$8</definedName>
    <definedName function="false" hidden="false" name="attenuation_2.4_3" vbProcedure="false">#REF!!$J$6:$J$8</definedName>
    <definedName function="false" hidden="false" name="attenuation_5.2" vbProcedure="false">test_write!$K$6:$K$8</definedName>
    <definedName function="false" hidden="false" name="attenuation_5.2_1" vbProcedure="false">#REF!!$K$6:$K$8</definedName>
    <definedName function="false" hidden="false" name="attenuation_5.2_2" vbProcedure="false">#REF!!$K$6:$K$8</definedName>
    <definedName function="false" hidden="false" name="attenuation_5.2_3" vbProcedure="false">#REF!!$K$6:$K$8</definedName>
    <definedName function="false" hidden="false" name="attenuation_5.8" vbProcedure="false">test_write!$L$6:$L$8</definedName>
    <definedName function="false" hidden="false" name="attenuation_5.8_1" vbProcedure="false">#REF!!$L$6:$L$8</definedName>
    <definedName function="false" hidden="false" name="attenuation_5.8_2" vbProcedure="false">#REF!!$L$6:$L$8</definedName>
    <definedName function="false" hidden="false" name="attenuation_5.8_3" vbProcedure="false">#REF!!$L$6:$L$8</definedName>
    <definedName function="false" hidden="false" name="desired_config" vbProcedure="false">'Summary 11n'!$E$2</definedName>
    <definedName function="false" hidden="false" name="diversity_gain_11g" vbProcedure="false">test_write!$K$29</definedName>
    <definedName function="false" hidden="false" name="diversity_gain_11g_1" vbProcedure="false">#REF!!$K$29</definedName>
    <definedName function="false" hidden="false" name="diversity_gain_11g_2" vbProcedure="false">#REF!!$K$29</definedName>
    <definedName function="false" hidden="false" name="diversity_gain_11g_3" vbProcedure="false">#REF!!$K$29</definedName>
    <definedName function="false" hidden="false" name="diversity_gain_11n" vbProcedure="false">test_write!$K$30</definedName>
    <definedName function="false" hidden="false" name="diversity_gain_11n_1" vbProcedure="false">#REF!!$K$30</definedName>
    <definedName function="false" hidden="false" name="diversity_gain_11n_2" vbProcedure="false">#REF!!$K$30</definedName>
    <definedName function="false" hidden="false" name="diversity_gain_11n_3" vbProcedure="false">#REF!!$K$30</definedName>
    <definedName function="false" hidden="false" name="diversity_gain_15.4" vbProcedure="false">test_write!$K$78</definedName>
    <definedName function="false" hidden="false" name="diversity_gain_15.4_1" vbProcedure="false">#REF!!$K$78</definedName>
    <definedName function="false" hidden="false" name="diversity_gain_15.4_2" vbProcedure="false">#REF!!$K$78</definedName>
    <definedName function="false" hidden="false" name="diversity_gain_15.4_3" vbProcedure="false">#REF!!$K$78</definedName>
    <definedName function="false" hidden="false" name="ethernet_type" vbProcedure="false">test_write!$E$7</definedName>
    <definedName function="false" hidden="false" name="ethernet_type_1" vbProcedure="false">#REF!!$E$7</definedName>
    <definedName function="false" hidden="false" name="ethernet_type_2" vbProcedure="false">#REF!!$E$7</definedName>
    <definedName function="false" hidden="false" name="ethernet_type_3" vbProcedure="false">#REF!!$E$7</definedName>
    <definedName function="false" hidden="false" name="fading_margin_11_dsss" vbProcedure="false">test_write!$K$24:$K$25</definedName>
    <definedName function="false" hidden="false" name="fading_margin_11_dsss_1" vbProcedure="false">#REF!!$K$24:$K$25</definedName>
    <definedName function="false" hidden="false" name="fading_margin_11_dsss_2" vbProcedure="false">#REF!!$K$24:$K$25</definedName>
    <definedName function="false" hidden="false" name="fading_margin_11_dsss_3" vbProcedure="false">#REF!!$K$24:$K$25</definedName>
    <definedName function="false" hidden="false" name="fading_margin_11_dsss_name" vbProcedure="false">test_write!$J$24:$J$25</definedName>
    <definedName function="false" hidden="false" name="fading_margin_11_dsss_name_1" vbProcedure="false">#REF!!$J$24:$J$25</definedName>
    <definedName function="false" hidden="false" name="fading_margin_11_dsss_name_2" vbProcedure="false">#REF!!$J$24:$J$25</definedName>
    <definedName function="false" hidden="false" name="fading_margin_11_dsss_name_3" vbProcedure="false">#REF!!$J$24:$J$25</definedName>
    <definedName function="false" hidden="false" name="fading_margin_11_ofdm" vbProcedure="false">test_write!$I$24:$I$27</definedName>
    <definedName function="false" hidden="false" name="fading_margin_11_ofdm_1" vbProcedure="false">#REF!!$I$24:$I$27</definedName>
    <definedName function="false" hidden="false" name="fading_margin_11_ofdm_2" vbProcedure="false">#REF!!$I$24:$I$27</definedName>
    <definedName function="false" hidden="false" name="fading_margin_11_ofdm_3" vbProcedure="false">#REF!!$I$24:$I$27</definedName>
    <definedName function="false" hidden="false" name="fading_margin_11_ofdm_name" vbProcedure="false">test_write!$H$24:$H$27</definedName>
    <definedName function="false" hidden="false" name="fading_margin_11_ofdm_name_1" vbProcedure="false">#REF!!$H$24:$H$27</definedName>
    <definedName function="false" hidden="false" name="fading_margin_11_ofdm_name_2" vbProcedure="false">#REF!!$H$24:$H$27</definedName>
    <definedName function="false" hidden="false" name="fading_margin_11_ofdm_name_3" vbProcedure="false">#REF!!$H$24:$H$27</definedName>
    <definedName function="false" hidden="false" name="fading_margin_15.4" vbProcedure="false">test_write!$J$76</definedName>
    <definedName function="false" hidden="false" name="fading_margin_15.4_1" vbProcedure="false">#REF!!$J$76</definedName>
    <definedName function="false" hidden="false" name="fading_margin_15.4_2" vbProcedure="false">#REF!!$J$76</definedName>
    <definedName function="false" hidden="false" name="fading_margin_15.4_3" vbProcedure="false">#REF!!$J$76</definedName>
    <definedName function="false" hidden="false" name="freq" vbProcedure="false">test_write!$E$6</definedName>
    <definedName function="false" hidden="false" name="freq_1" vbProcedure="false">#REF!!$E$6</definedName>
    <definedName function="false" hidden="false" name="freq_2" vbProcedure="false">#REF!!$E$6</definedName>
    <definedName function="false" hidden="false" name="freq_3" vbProcedure="false">#REF!!$E$6</definedName>
    <definedName function="false" hidden="false" name="interpolate" vbProcedure="false">test_write!$E$5</definedName>
    <definedName function="false" hidden="false" name="interpolate_1" vbProcedure="false">#REF!!$E$5</definedName>
    <definedName function="false" hidden="false" name="interpolate_2" vbProcedure="false">#REF!!$E$5</definedName>
    <definedName function="false" hidden="false" name="interpolate_3" vbProcedure="false">#REF!!$E$5</definedName>
    <definedName function="false" hidden="false" name="large_home" vbProcedure="false">test_write!$P$93</definedName>
    <definedName function="false" hidden="false" name="large_home_1" vbProcedure="false">#REF!!$P$93</definedName>
    <definedName function="false" hidden="false" name="large_home_2" vbProcedure="false">#REF!!$P$93</definedName>
    <definedName function="false" hidden="false" name="large_home_3" vbProcedure="false">#REF!!$P$93</definedName>
    <definedName function="false" hidden="false" name="link_budget_11g" vbProcedure="false">test_write!$K$38:$K$47</definedName>
    <definedName function="false" hidden="false" name="link_budget_11g_1" vbProcedure="false">#REF!!$K$38:$K$47</definedName>
    <definedName function="false" hidden="false" name="link_budget_11g_2" vbProcedure="false">#REF!!$K$38:$K$47</definedName>
    <definedName function="false" hidden="false" name="link_budget_11g_3" vbProcedure="false">#REF!!$K$38:$K$47</definedName>
    <definedName function="false" hidden="false" name="link_budget_11n_20" vbProcedure="false">test_write!$G$52:$G$71</definedName>
    <definedName function="false" hidden="false" name="link_budget_11n_20_1" vbProcedure="false">#REF!!$G$52:$G$71</definedName>
    <definedName function="false" hidden="false" name="link_budget_11n_20_2" vbProcedure="false">#REF!!$G$52:$G$71</definedName>
    <definedName function="false" hidden="false" name="link_budget_11n_20_3" vbProcedure="false">#REF!!$G$52:$G$71</definedName>
    <definedName function="false" hidden="false" name="link_budget_11n_40" vbProcedure="false">test_write!$O$52:$O$71</definedName>
    <definedName function="false" hidden="false" name="link_budget_11n_40_1" vbProcedure="false">#REF!!$O$52:$O$71</definedName>
    <definedName function="false" hidden="false" name="link_budget_11n_40_2" vbProcedure="false">#REF!!$O$52:$O$71</definedName>
    <definedName function="false" hidden="false" name="link_budget_11n_40_3" vbProcedure="false">#REF!!$O$52:$O$71</definedName>
    <definedName function="false" hidden="false" name="link_budget_15.4" vbProcedure="false">test_write!$K$84</definedName>
    <definedName function="false" hidden="false" name="link_budget_15.4_1" vbProcedure="false">#REF!!$K$84</definedName>
    <definedName function="false" hidden="false" name="link_budget_15.4_2" vbProcedure="false">#REF!!$K$84</definedName>
    <definedName function="false" hidden="false" name="link_budget_15.4_3" vbProcedure="false">#REF!!$K$84</definedName>
    <definedName function="false" hidden="false" name="measured_50" vbProcedure="false">test_write!$P$107:$Q$177</definedName>
    <definedName function="false" hidden="false" name="measured_50_1" vbProcedure="false">#REF!!$P$107:$Q$177</definedName>
    <definedName function="false" hidden="false" name="measured_50_2" vbProcedure="false">#REF!!$P$107:$Q$177</definedName>
    <definedName function="false" hidden="false" name="measured_50_3" vbProcedure="false">#REF!!$P$107:$Q$177</definedName>
    <definedName function="false" hidden="false" name="measured_90" vbProcedure="false">test_write!$N$107:$O$177</definedName>
    <definedName function="false" hidden="false" name="measured_90_1" vbProcedure="false">#REF!!$N$107:$O$177</definedName>
    <definedName function="false" hidden="false" name="measured_90_2" vbProcedure="false">#REF!!$N$107:$O$177</definedName>
    <definedName function="false" hidden="false" name="measured_90_3" vbProcedure="false">#REF!!$N$107:$O$177</definedName>
    <definedName function="false" hidden="false" name="measured_95" vbProcedure="false">test_write!$L$107:$M$177</definedName>
    <definedName function="false" hidden="false" name="measured_95_1" vbProcedure="false">#REF!!$L$107:$M$177</definedName>
    <definedName function="false" hidden="false" name="measured_95_2" vbProcedure="false">#REF!!$L$107:$M$177</definedName>
    <definedName function="false" hidden="false" name="measured_95_3" vbProcedure="false">#REF!!$L$107:$M$177</definedName>
    <definedName function="false" hidden="false" name="measured_per" vbProcedure="false">test_write!$J$107:$K$177</definedName>
    <definedName function="false" hidden="false" name="measured_per_1" vbProcedure="false">#REF!!$J$107:$K$177</definedName>
    <definedName function="false" hidden="false" name="measured_per_2" vbProcedure="false">#REF!!$J$107:$K$177</definedName>
    <definedName function="false" hidden="false" name="measured_per_3" vbProcedure="false">#REF!!$J$107:$K$177</definedName>
    <definedName function="false" hidden="false" name="mode_802.11" vbProcedure="false">test_write!$J$32</definedName>
    <definedName function="false" hidden="false" name="mode_802.11_1" vbProcedure="false">#REF!!$J$32</definedName>
    <definedName function="false" hidden="false" name="mode_802.11_2" vbProcedure="false">#REF!!$J$32</definedName>
    <definedName function="false" hidden="false" name="mode_802.11_3" vbProcedure="false">#REF!!$J$32</definedName>
    <definedName function="false" hidden="false" name="network_type" vbProcedure="false">test_write!$E$3</definedName>
    <definedName function="false" hidden="false" name="network_type_1" vbProcedure="false">#REF!!$E$3</definedName>
    <definedName function="false" hidden="false" name="network_type_2" vbProcedure="false">#REF!!$E$3</definedName>
    <definedName function="false" hidden="false" name="network_type_3" vbProcedure="false">#REF!!$E$3</definedName>
    <definedName function="false" hidden="false" name="phy_rate_11g" vbProcedure="false">test_write!$L$38:$L$47</definedName>
    <definedName function="false" hidden="false" name="phy_rate_11g_1" vbProcedure="false">#REF!!$L$38:$L$47</definedName>
    <definedName function="false" hidden="false" name="phy_rate_11g_2" vbProcedure="false">#REF!!$L$38:$L$47</definedName>
    <definedName function="false" hidden="false" name="phy_rate_11g_3" vbProcedure="false">#REF!!$L$38:$L$47</definedName>
    <definedName function="false" hidden="false" name="phy_rate_11n_20" vbProcedure="false">test_write!$H$52:$H$71</definedName>
    <definedName function="false" hidden="false" name="phy_rate_11n_20_1" vbProcedure="false">#REF!!$H$52:$H$71</definedName>
    <definedName function="false" hidden="false" name="phy_rate_11n_20_2" vbProcedure="false">#REF!!$H$52:$H$71</definedName>
    <definedName function="false" hidden="false" name="phy_rate_11n_20_3" vbProcedure="false">#REF!!$H$52:$H$71</definedName>
    <definedName function="false" hidden="false" name="phy_rate_11n_40" vbProcedure="false">test_write!$P$52:$P$71</definedName>
    <definedName function="false" hidden="false" name="phy_rate_11n_40_1" vbProcedure="false">#REF!!$P$52:$P$71</definedName>
    <definedName function="false" hidden="false" name="phy_rate_11n_40_2" vbProcedure="false">#REF!!$P$52:$P$71</definedName>
    <definedName function="false" hidden="false" name="phy_rate_11n_40_3" vbProcedure="false">#REF!!$P$52:$P$71</definedName>
    <definedName function="false" hidden="false" name="phy_rate_15.4" vbProcedure="false">test_write!$L$84</definedName>
    <definedName function="false" hidden="false" name="phy_rate_15.4_1" vbProcedure="false">#REF!!$L$84</definedName>
    <definedName function="false" hidden="false" name="phy_rate_15.4_2" vbProcedure="false">#REF!!$L$84</definedName>
    <definedName function="false" hidden="false" name="phy_rate_15.4_3" vbProcedure="false">#REF!!$L$84</definedName>
    <definedName function="false" hidden="false" name="rx_ants" vbProcedure="false">test_write!$P$9</definedName>
    <definedName function="false" hidden="false" name="rx_ants_1" vbProcedure="false">#REF!!$P$9</definedName>
    <definedName function="false" hidden="false" name="rx_ants_2" vbProcedure="false">#REF!!$P$9</definedName>
    <definedName function="false" hidden="false" name="rx_ants_3" vbProcedure="false">#REF!!$P$9</definedName>
    <definedName function="false" hidden="false" name="rx_chains" vbProcedure="false">test_write!$P$7</definedName>
    <definedName function="false" hidden="false" name="rx_chains_1" vbProcedure="false">#REF!!$P$7</definedName>
    <definedName function="false" hidden="false" name="rx_chains_2" vbProcedure="false">#REF!!$P$7</definedName>
    <definedName function="false" hidden="false" name="rx_chains_3" vbProcedure="false">#REF!!$P$7</definedName>
    <definedName function="false" hidden="false" name="rx_loss" vbProcedure="false">test_write!$P$16</definedName>
    <definedName function="false" hidden="false" name="rx_loss_1" vbProcedure="false">#REF!!$P$16</definedName>
    <definedName function="false" hidden="false" name="rx_loss_2" vbProcedure="false">#REF!!$P$16</definedName>
    <definedName function="false" hidden="false" name="rx_loss_3" vbProcedure="false">#REF!!$P$16</definedName>
    <definedName function="false" hidden="false" name="sensitivity_11g" vbProcedure="false">test_write!$J$38:$J$47</definedName>
    <definedName function="false" hidden="false" name="sensitivity_11g_1" vbProcedure="false">#REF!!$J$38:$J$47</definedName>
    <definedName function="false" hidden="false" name="sensitivity_11g_2" vbProcedure="false">#REF!!$J$38:$J$47</definedName>
    <definedName function="false" hidden="false" name="sensitivity_11g_3" vbProcedure="false">#REF!!$J$38:$J$47</definedName>
    <definedName function="false" hidden="false" name="sensitivity_11n_20" vbProcedure="false">test_write!$F$52:$F$71</definedName>
    <definedName function="false" hidden="false" name="sensitivity_11n_20_1" vbProcedure="false">#REF!!$F$52:$F$71</definedName>
    <definedName function="false" hidden="false" name="sensitivity_11n_20_2" vbProcedure="false">#REF!!$F$52:$F$71</definedName>
    <definedName function="false" hidden="false" name="sensitivity_11n_20_3" vbProcedure="false">#REF!!$F$52:$F$71</definedName>
    <definedName function="false" hidden="false" name="sensitivity_11n_40" vbProcedure="false">test_write!$N$52:$N$71</definedName>
    <definedName function="false" hidden="false" name="sensitivity_11n_40_1" vbProcedure="false">#REF!!$N$52:$N$71</definedName>
    <definedName function="false" hidden="false" name="sensitivity_11n_40_2" vbProcedure="false">#REF!!$N$52:$N$71</definedName>
    <definedName function="false" hidden="false" name="sensitivity_11n_40_3" vbProcedure="false">#REF!!$N$52:$N$71</definedName>
    <definedName function="false" hidden="false" name="sensitivity_15.4" vbProcedure="false">test_write!$J$84</definedName>
    <definedName function="false" hidden="false" name="sensitivity_15.4_1" vbProcedure="false">#REF!!$J$84</definedName>
    <definedName function="false" hidden="false" name="sensitivity_15.4_2" vbProcedure="false">#REF!!$J$84</definedName>
    <definedName function="false" hidden="false" name="sensitivity_15.4_3" vbProcedure="false">#REF!!$J$84</definedName>
    <definedName function="false" hidden="false" name="spatial_streams" vbProcedure="false">test_write!$P$5</definedName>
    <definedName function="false" hidden="false" name="spatial_streams_1" vbProcedure="false">#REF!!$P$5</definedName>
    <definedName function="false" hidden="false" name="spatial_streams_2" vbProcedure="false">#REF!!$P$5</definedName>
    <definedName function="false" hidden="false" name="spatial_streams_3" vbProcedure="false">#REF!!$P$5</definedName>
    <definedName function="false" hidden="false" name="theoretical_per" vbProcedure="false">test_write!$F$107:$G$177</definedName>
    <definedName function="false" hidden="false" name="theoretical_per_1" vbProcedure="false">#REF!!$F$107:$G$177</definedName>
    <definedName function="false" hidden="false" name="theoretical_per_2" vbProcedure="false">#REF!!$F$107:$G$177</definedName>
    <definedName function="false" hidden="false" name="theoretical_per_3" vbProcedure="false">#REF!!$F$107:$G$177</definedName>
    <definedName function="false" hidden="false" name="theoretical_throughput" vbProcedure="false">test_write!$H$107:$I$177</definedName>
    <definedName function="false" hidden="false" name="theoretical_throughput_1" vbProcedure="false">#REF!!$H$107:$I$177</definedName>
    <definedName function="false" hidden="false" name="theoretical_throughput_2" vbProcedure="false">#REF!!$H$107:$I$177</definedName>
    <definedName function="false" hidden="false" name="theoretical_throughput_3" vbProcedure="false">#REF!!$H$107:$I$177</definedName>
    <definedName function="false" hidden="false" name="total_pathloss" vbProcedure="false">test_write!$D$107:$E$177</definedName>
    <definedName function="false" hidden="false" name="total_pathloss_1" vbProcedure="false">#REF!!$D$107:$E$177</definedName>
    <definedName function="false" hidden="false" name="total_pathloss_2" vbProcedure="false">#REF!!$D$107:$E$177</definedName>
    <definedName function="false" hidden="false" name="total_pathloss_3" vbProcedure="false">#REF!!$D$107:$E$177</definedName>
    <definedName function="false" hidden="false" name="translation_factor_11g" vbProcedure="false">test_write!$G$38:$H$47</definedName>
    <definedName function="false" hidden="false" name="translation_factor_11g_1" vbProcedure="false">#REF!!$G$38:$H$47</definedName>
    <definedName function="false" hidden="false" name="translation_factor_11g_2" vbProcedure="false">#REF!!$G$38:$H$47</definedName>
    <definedName function="false" hidden="false" name="translation_factor_11g_3" vbProcedure="false">#REF!!$G$38:$H$47</definedName>
    <definedName function="false" hidden="false" name="translation_factor_11n_20" vbProcedure="false">test_write!$C$52:$D$71</definedName>
    <definedName function="false" hidden="false" name="translation_factor_11n_20_1" vbProcedure="false">#REF!!$C$52:$D$71</definedName>
    <definedName function="false" hidden="false" name="translation_factor_11n_20_2" vbProcedure="false">#REF!!$C$52:$D$71</definedName>
    <definedName function="false" hidden="false" name="translation_factor_11n_20_3" vbProcedure="false">#REF!!$C$52:$D$71</definedName>
    <definedName function="false" hidden="false" name="translation_factor_11n_40" vbProcedure="false">test_write!$K$52:$L$71</definedName>
    <definedName function="false" hidden="false" name="translation_factor_11n_40_1" vbProcedure="false">#REF!!$K$52:$L$71</definedName>
    <definedName function="false" hidden="false" name="translation_factor_11n_40_2" vbProcedure="false">#REF!!$K$52:$L$71</definedName>
    <definedName function="false" hidden="false" name="translation_factor_11n_40_3" vbProcedure="false">#REF!!$K$52:$L$71</definedName>
    <definedName function="false" hidden="false" name="translation_factor_15.4" vbProcedure="false">test_write!$G$84</definedName>
    <definedName function="false" hidden="false" name="translation_factor_15.4_1" vbProcedure="false">#REF!!$G$84</definedName>
    <definedName function="false" hidden="false" name="translation_factor_15.4_2" vbProcedure="false">#REF!!$G$84</definedName>
    <definedName function="false" hidden="false" name="translation_factor_15.4_3" vbProcedure="false">#REF!!$G$84</definedName>
    <definedName function="false" hidden="false" name="tx_ants" vbProcedure="false">test_write!$P$8</definedName>
    <definedName function="false" hidden="false" name="tx_ants_1" vbProcedure="false">#REF!!$P$8</definedName>
    <definedName function="false" hidden="false" name="tx_ants_2" vbProcedure="false">#REF!!$P$8</definedName>
    <definedName function="false" hidden="false" name="tx_ants_3" vbProcedure="false">#REF!!$P$8</definedName>
    <definedName function="false" hidden="false" name="tx_chains" vbProcedure="false">test_write!$P$6</definedName>
    <definedName function="false" hidden="false" name="tx_chains_1" vbProcedure="false">#REF!!$P$6</definedName>
    <definedName function="false" hidden="false" name="tx_chains_2" vbProcedure="false">#REF!!$P$6</definedName>
    <definedName function="false" hidden="false" name="tx_chains_3" vbProcedure="false">#REF!!$P$6</definedName>
    <definedName function="false" hidden="false" name="tx_loss" vbProcedure="false">test_write!$I$16</definedName>
    <definedName function="false" hidden="false" name="tx_loss_1" vbProcedure="false">#REF!!$I$16</definedName>
    <definedName function="false" hidden="false" name="tx_loss_2" vbProcedure="false">#REF!!$I$16</definedName>
    <definedName function="false" hidden="false" name="tx_loss_3" vbProcedure="false">#REF!!$I$16</definedName>
    <definedName function="false" hidden="false" name="tx_power_11g" vbProcedure="false">test_write!$I$38:$I$47</definedName>
    <definedName function="false" hidden="false" name="tx_power_11g_1" vbProcedure="false">#REF!!$I$38:$I$47</definedName>
    <definedName function="false" hidden="false" name="tx_power_11g_2" vbProcedure="false">#REF!!$I$38:$I$47</definedName>
    <definedName function="false" hidden="false" name="tx_power_11g_3" vbProcedure="false">#REF!!$I$38:$I$47</definedName>
    <definedName function="false" hidden="false" name="tx_power_11n_20" vbProcedure="false">test_write!$E$52:$E$71</definedName>
    <definedName function="false" hidden="false" name="tx_power_11n_20_1" vbProcedure="false">#REF!!$E$52:$E$71</definedName>
    <definedName function="false" hidden="false" name="tx_power_11n_20_2" vbProcedure="false">#REF!!$E$52:$E$71</definedName>
    <definedName function="false" hidden="false" name="tx_power_11n_20_3" vbProcedure="false">#REF!!$E$52:$E$71</definedName>
    <definedName function="false" hidden="false" name="tx_power_11n_40" vbProcedure="false">test_write!$M$52:$M$71</definedName>
    <definedName function="false" hidden="false" name="tx_power_11n_40_1" vbProcedure="false">#REF!!$M$52:$M$71</definedName>
    <definedName function="false" hidden="false" name="tx_power_11n_40_2" vbProcedure="false">#REF!!$M$52:$M$71</definedName>
    <definedName function="false" hidden="false" name="tx_power_11n_40_3" vbProcedure="false">#REF!!$M$52:$M$71</definedName>
    <definedName function="false" hidden="false" name="tx_power_15.4" vbProcedure="false">test_write!$I$84</definedName>
    <definedName function="false" hidden="false" name="tx_power_15.4_1" vbProcedure="false">#REF!!$I$84</definedName>
    <definedName function="false" hidden="false" name="tx_power_15.4_2" vbProcedure="false">#REF!!$I$84</definedName>
    <definedName function="false" hidden="false" name="tx_power_15.4_3" vbProcedure="false">#REF!!$I$84</definedName>
    <definedName function="false" hidden="false" name="typical_home" vbProcedure="false">test_write!$P$91</definedName>
    <definedName function="false" hidden="false" name="typical_home_1" vbProcedure="false">#REF!!$P$91</definedName>
    <definedName function="false" hidden="false" name="typical_home_2" vbProcedure="false">#REF!!$P$91</definedName>
    <definedName function="false" hidden="false" name="typical_home_3" vbProcedure="false">#REF!!$P$91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<sst xmlns="http://schemas.openxmlformats.org/spreadsheetml/2006/main" count="255" uniqueCount="133">
  <si>
    <t>Details of Input Parameters</t>
  </si>
  <si>
    <t>Description</t>
  </si>
  <si>
    <t>Simulation Network</t>
  </si>
  <si>
    <t>Attenuation of Different Materials</t>
  </si>
  <si>
    <t>Tx/Rx Related Parameters</t>
  </si>
  <si>
    <t>1. Type of simulation network. This model currently supports only 11 g/n and 15.4</t>
  </si>
  <si>
    <t>2. Use linear interpolation or not. Linear interpolation should be used as Tx power/Rx sensitivity data may not be complete.</t>
  </si>
  <si>
    <t>Linear Inpterpolation</t>
  </si>
  <si>
    <t>Structure</t>
  </si>
  <si>
    <t>2.4 GHz</t>
  </si>
  <si>
    <t>5.2 GHz</t>
  </si>
  <si>
    <t>5.8 GHz</t>
  </si>
  <si>
    <t>Spatial Streams</t>
  </si>
  <si>
    <t>3. Frequency of the network. This model supports 2.4 G, 5.2 G and 5.8 G operation.</t>
  </si>
  <si>
    <t>Frequency (GHz)</t>
  </si>
  <si>
    <t>Partition</t>
  </si>
  <si>
    <t>Tx Chains</t>
  </si>
  <si>
    <t>4. Type of Ethernet: Gigabit, Fast or 10 Mbits/sec.</t>
  </si>
  <si>
    <t>Ethernet Type</t>
  </si>
  <si>
    <t>Thin Wall</t>
  </si>
  <si>
    <t>Stone</t>
  </si>
  <si>
    <t>Rx Chains</t>
  </si>
  <si>
    <t>Wall</t>
  </si>
  <si>
    <t>Concrete</t>
  </si>
  <si>
    <t>Tx Antennas</t>
  </si>
  <si>
    <t>5. No. of spatial streams transmitted by the network. For 11g and 15.4 networks, its value shall always be 1.</t>
  </si>
  <si>
    <t>Floor</t>
  </si>
  <si>
    <t>Reinforced Concrete</t>
  </si>
  <si>
    <t>Rx Antennas</t>
  </si>
  <si>
    <t>6. No. of Tx chains used by the transmitter. For 11g and 15.4 networks, its value shall always be 1.</t>
  </si>
  <si>
    <t>Selection Gain</t>
  </si>
  <si>
    <t>7. No. of Rx chains used by the receiver. For 11g and 15.4 networks, its value shall always be 1.</t>
  </si>
  <si>
    <t>Combining Gain</t>
  </si>
  <si>
    <t>8. No. of antennas on the transmitter.</t>
  </si>
  <si>
    <t>9. No of antennas on the receiver.</t>
  </si>
  <si>
    <t>Losses on Tx Side</t>
  </si>
  <si>
    <t>Losses on Rx Side</t>
  </si>
  <si>
    <t>10. Diversity gain in case selection diversity is used.</t>
  </si>
  <si>
    <t>11. diversity gain in case combining technique is used to recover multiple spatial streams.</t>
  </si>
  <si>
    <t>Antenna Loss (dB)</t>
  </si>
  <si>
    <t>u.FL Cable Loss (dB)</t>
  </si>
  <si>
    <t>SMA Cable Loss (dB)</t>
  </si>
  <si>
    <t>Network Specific Parameters</t>
  </si>
  <si>
    <t>802.11 Specific</t>
  </si>
  <si>
    <t>Fading Margins (dB)</t>
  </si>
  <si>
    <t>11g/n fading margins used by the model.</t>
  </si>
  <si>
    <t>OFDM</t>
  </si>
  <si>
    <t>DSSS</t>
  </si>
  <si>
    <t>64-QAM</t>
  </si>
  <si>
    <t>QPSK</t>
  </si>
  <si>
    <t>16-QAM</t>
  </si>
  <si>
    <t>BPSK</t>
  </si>
  <si>
    <t>Diversity Gain in 11g Operation</t>
  </si>
  <si>
    <t>Diversity gain if the device is operating in 11g mode.</t>
  </si>
  <si>
    <t>Diversity Gain in 11n Operation</t>
  </si>
  <si>
    <t>Diversity gain if the device is operating in 11n mode.</t>
  </si>
  <si>
    <t>Operating Mode</t>
  </si>
  <si>
    <t>Operation mode. Select if the 802.11 network is operating in Legacy 11g mode, 11n 20MHz mode or 11n 40/20 mode with channel width management enabled.</t>
  </si>
  <si>
    <t>802.11g</t>
  </si>
  <si>
    <t>Throughput Translation Factor</t>
  </si>
  <si>
    <t>Tx Power (dBm)</t>
  </si>
  <si>
    <t>Sensitivity (dB)</t>
  </si>
  <si>
    <t>Budget (dB)</t>
  </si>
  <si>
    <t>PHY Rate (mbps)</t>
  </si>
  <si>
    <t>Throughput translation factor is used to translate PHY rate to achievable TCP throughput.</t>
  </si>
  <si>
    <t>TX power table is filled from the factsheet supplied by the supplier.</t>
  </si>
  <si>
    <t>Rx sensitivity is filled from the factsheet supplied by the supplier.</t>
  </si>
  <si>
    <t>Link Budget is calculated from the Tx power, Rx sensitivity and losses on Tx and Rx sides.</t>
  </si>
  <si>
    <t>PHY rate associated with the Tx power and Rx sensitivity.</t>
  </si>
  <si>
    <t>802.11n - 20MHz</t>
  </si>
  <si>
    <t>802.11n - 40MHz</t>
  </si>
  <si>
    <t>802.15.4 Specific</t>
  </si>
  <si>
    <t>O-QPSK</t>
  </si>
  <si>
    <t>15.4 fading margins used by the model.</t>
  </si>
  <si>
    <t>Diversity Gain in 15.4 Operation</t>
  </si>
  <si>
    <t>802.15.4</t>
  </si>
  <si>
    <t>PHY Rate (kbps)</t>
  </si>
  <si>
    <t>Real World Parameters</t>
  </si>
  <si>
    <t>This section computes the real world pathloss depending on the distance and (number and type of) obstacles between Tx and Rx. </t>
  </si>
  <si>
    <t>Total Distance Between Tx and RX (m)</t>
  </si>
  <si>
    <t>Distance Between Tx and "First Obstruction" OR "Rx" (m)</t>
  </si>
  <si>
    <t>No. of Thin Walls in Between Tx and Rx</t>
  </si>
  <si>
    <t>No. of Concrete Walls in Between Tx and Rx</t>
  </si>
  <si>
    <t>No. of Floors in Between Tx and Rx</t>
  </si>
  <si>
    <t>Pathloss (dB)</t>
  </si>
  <si>
    <t>Typical Home Parameters</t>
  </si>
  <si>
    <t>Parameters suitable for typical home</t>
  </si>
  <si>
    <t>Parameters suitable for large home</t>
  </si>
  <si>
    <t>Large Home Parameters</t>
  </si>
  <si>
    <t>Shielded Room</t>
  </si>
  <si>
    <t>Enter the shielded room parameters in this section. </t>
  </si>
  <si>
    <t>Distance between Tx and Rx (m)</t>
  </si>
  <si>
    <t>Fixed Attenuation (dB)</t>
  </si>
  <si>
    <t>Compensation Factor (CF) for Additional Rx Power in Shielded Room (dB)</t>
  </si>
  <si>
    <t>Distance between Tx and Rx.</t>
  </si>
  <si>
    <t>Compensation Factor (in dB) for additional Rx power n the shielded room.</t>
  </si>
  <si>
    <t>Added Attenuation</t>
  </si>
  <si>
    <t>Pathloss</t>
  </si>
  <si>
    <t>Theoretical PER</t>
  </si>
  <si>
    <t>Theoretical Throughput</t>
  </si>
  <si>
    <t>Measured PER</t>
  </si>
  <si>
    <t>Measured Throughput 95%</t>
  </si>
  <si>
    <t>Measured Throughput 90%</t>
  </si>
  <si>
    <t>Measured Throughput 50%</t>
  </si>
  <si>
    <t>(dB)</t>
  </si>
  <si>
    <t>(%)</t>
  </si>
  <si>
    <t>Additional Notes:</t>
  </si>
  <si>
    <t>To compute Packet Error Rate (PER) of CC2530 802.15.4 chipset, open MATLAB application and cd to the directory containing</t>
  </si>
  <si>
    <t>802.15.4 Performance Sheet</t>
  </si>
  <si>
    <t>and execute the following command:</t>
  </si>
  <si>
    <t>per_performance('Performance Model 15.4.xlsm', 'CC2530')</t>
  </si>
  <si>
    <t>Warning: Fill Out The Red Fields Only.</t>
  </si>
  <si>
    <t>yes</t>
  </si>
  <si>
    <t>Gigabit</t>
  </si>
  <si>
    <t>Chipset</t>
  </si>
  <si>
    <t>UB124</t>
  </si>
  <si>
    <t>Access point</t>
  </si>
  <si>
    <t>MB92</t>
  </si>
  <si>
    <t>Total (dB)</t>
  </si>
  <si>
    <t>HT20</t>
  </si>
  <si>
    <t>Programmable Attenuation Specific Parameters</t>
  </si>
  <si>
    <t>Correction</t>
  </si>
  <si>
    <t>Programmable Attenuator Unit Insertion Loss (dB)</t>
  </si>
  <si>
    <t>Total Pathloss</t>
  </si>
  <si>
    <t>Measured Throughput 10%</t>
  </si>
  <si>
    <t>Niks</t>
  </si>
  <si>
    <t>Desired Configuration</t>
  </si>
  <si>
    <t>All</t>
  </si>
  <si>
    <t>Comparison of Theoretical Results</t>
  </si>
  <si>
    <t>Comparison of Measured Results (10%)</t>
  </si>
  <si>
    <t>Comparison of Measured Results (90%)</t>
  </si>
  <si>
    <t>Comparison of Measured Results (50%)</t>
  </si>
  <si>
    <t>Comparison of Measured Results</t>
  </si>
</sst>
</file>

<file path=xl/styles.xml><?xml version="1.0" encoding="utf-8"?>
<styleSheet xmlns="http://schemas.openxmlformats.org/spreadsheetml/2006/main">
  <numFmts count="2">
    <numFmt formatCode="GENERAL" numFmtId="164"/>
    <numFmt formatCode="0.0" numFmtId="165"/>
  </numFmts>
  <fonts count="17">
    <font>
      <name val="Calibri"/>
      <charset val="1"/>
      <family val="2"/>
      <color rgb="00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Arial"/>
      <charset val="1"/>
      <family val="2"/>
      <color rgb="00000000"/>
      <sz val="9"/>
    </font>
    <font>
      <name val="Arial"/>
      <charset val="1"/>
      <family val="2"/>
      <b val="true"/>
      <color rgb="00FF0000"/>
      <sz val="16"/>
    </font>
    <font>
      <name val="Arial"/>
      <charset val="1"/>
      <family val="2"/>
      <b val="true"/>
      <color rgb="00FF0000"/>
      <sz val="9"/>
    </font>
    <font>
      <name val="Arial"/>
      <charset val="1"/>
      <family val="2"/>
      <b val="true"/>
      <color rgb="00000000"/>
      <sz val="9"/>
    </font>
    <font>
      <name val="Arial"/>
      <charset val="1"/>
      <family val="2"/>
      <b val="true"/>
      <color rgb="00C00000"/>
      <sz val="9"/>
    </font>
    <font>
      <name val="Arial"/>
      <charset val="1"/>
      <family val="2"/>
      <b val="true"/>
      <color rgb="00808080"/>
      <sz val="9"/>
    </font>
    <font>
      <name val="Arial"/>
      <charset val="1"/>
      <family val="2"/>
      <color rgb="00C00000"/>
      <sz val="9"/>
    </font>
    <font>
      <name val="Arial"/>
      <charset val="1"/>
      <family val="2"/>
      <color rgb="00FF0000"/>
      <sz val="9"/>
    </font>
    <font>
      <name val="Arial"/>
      <charset val="1"/>
      <family val="2"/>
      <b val="true"/>
      <sz val="9"/>
    </font>
    <font>
      <name val="Arial"/>
      <charset val="1"/>
      <family val="2"/>
      <sz val="9"/>
    </font>
    <font>
      <name val="Calibri"/>
      <family val="2"/>
      <b val="true"/>
      <color rgb="00000000"/>
      <sz val="14"/>
    </font>
    <font>
      <name val="Tahoma"/>
      <charset val="1"/>
      <family val="2"/>
      <color rgb="00000000"/>
      <sz val="11"/>
    </font>
    <font>
      <name val="Tahoma"/>
      <charset val="1"/>
      <family val="2"/>
      <b val="true"/>
      <color rgb="00FF0000"/>
      <sz val="16"/>
    </font>
  </fonts>
  <fills count="3">
    <fill>
      <patternFill patternType="none"/>
    </fill>
    <fill>
      <patternFill patternType="gray125"/>
    </fill>
    <fill>
      <patternFill patternType="solid">
        <fgColor rgb="0092D050"/>
        <bgColor rgb="00C0C0C0"/>
      </patternFill>
    </fill>
  </fills>
  <borders count="15">
    <border diagonalDown="false" diagonalUp="false">
      <left/>
      <right/>
      <top/>
      <bottom/>
      <diagonal/>
    </border>
    <border diagonalDown="false" diagonalUp="false">
      <left style="medium"/>
      <right/>
      <top style="medium"/>
      <bottom/>
      <diagonal/>
    </border>
    <border diagonalDown="false" diagonalUp="false">
      <left/>
      <right/>
      <top style="medium"/>
      <bottom/>
      <diagonal/>
    </border>
    <border diagonalDown="false" diagonalUp="false">
      <left/>
      <right style="medium"/>
      <top style="medium"/>
      <bottom/>
      <diagonal/>
    </border>
    <border diagonalDown="false" diagonalUp="false">
      <left style="medium"/>
      <right/>
      <top/>
      <bottom/>
      <diagonal/>
    </border>
    <border diagonalDown="false" diagonalUp="false">
      <left/>
      <right style="medium"/>
      <top/>
      <bottom/>
      <diagonal/>
    </border>
    <border diagonalDown="false" diagonalUp="false">
      <left style="medium"/>
      <right/>
      <top/>
      <bottom style="medium"/>
      <diagonal/>
    </border>
    <border diagonalDown="false" diagonalUp="false">
      <left/>
      <right/>
      <top/>
      <bottom style="medium"/>
      <diagonal/>
    </border>
    <border diagonalDown="false" diagonalUp="false">
      <left/>
      <right style="medium"/>
      <top/>
      <bottom style="medium"/>
      <diagonal/>
    </border>
    <border diagonalDown="false" diagonalUp="false">
      <left style="medium"/>
      <right style="medium"/>
      <top style="medium"/>
      <bottom/>
      <diagonal/>
    </border>
    <border diagonalDown="false" diagonalUp="false">
      <left/>
      <right/>
      <top style="thin"/>
      <bottom/>
      <diagonal/>
    </border>
    <border diagonalDown="false" diagonalUp="false">
      <left/>
      <right/>
      <top/>
      <bottom style="thin"/>
      <diagonal/>
    </border>
    <border diagonalDown="false" diagonalUp="false">
      <left style="medium"/>
      <right/>
      <top/>
      <bottom style="thin"/>
      <diagonal/>
    </border>
    <border diagonalDown="false" diagonalUp="false">
      <left/>
      <right style="medium"/>
      <top/>
      <bottom style="thin"/>
      <diagonal/>
    </border>
    <border diagonalDown="false" diagonalUp="false">
      <left style="medium"/>
      <right/>
      <top style="thin"/>
      <bottom style="medium"/>
      <diagonal/>
    </border>
  </borders>
  <cellStyleXfs count="20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</cellStyleXfs>
  <cellXfs count="104">
    <xf applyAlignment="false" applyBorder="false" applyFont="false" applyProtection="false" borderId="0" fillId="0" fontId="0" numFmtId="164" xfId="0"/>
    <xf applyAlignment="false" applyBorder="false" applyFont="true" applyProtection="false" borderId="0" fillId="0" fontId="4" numFmtId="164" xfId="0"/>
    <xf applyAlignment="true" applyBorder="true" applyFont="true" applyProtection="false" borderId="0" fillId="0" fontId="5" numFmtId="164" xfId="0">
      <alignment horizontal="center" indent="0" shrinkToFit="false" textRotation="0" vertical="center" wrapText="true"/>
    </xf>
    <xf applyAlignment="false" applyBorder="true" applyFont="true" applyProtection="false" borderId="0" fillId="0" fontId="4" numFmtId="164" xfId="0"/>
    <xf applyAlignment="false" applyBorder="false" applyFont="true" applyProtection="false" borderId="0" fillId="0" fontId="6" numFmtId="164" xfId="0"/>
    <xf applyAlignment="true" applyBorder="true" applyFont="true" applyProtection="false" borderId="1" fillId="0" fontId="6" numFmtId="164" xfId="0">
      <alignment horizontal="center" indent="0" shrinkToFit="false" textRotation="0" vertical="center" wrapText="false"/>
    </xf>
    <xf applyAlignment="true" applyBorder="true" applyFont="true" applyProtection="false" borderId="2" fillId="0" fontId="7" numFmtId="164" xfId="0">
      <alignment horizontal="center" indent="0" shrinkToFit="false" textRotation="0" vertical="center" wrapText="true"/>
    </xf>
    <xf applyAlignment="true" applyBorder="true" applyFont="true" applyProtection="false" borderId="2" fillId="2" fontId="4" numFmtId="164" xfId="0">
      <alignment horizontal="general" indent="0" shrinkToFit="false" textRotation="0" vertical="bottom" wrapText="false"/>
    </xf>
    <xf applyAlignment="true" applyBorder="true" applyFont="true" applyProtection="false" borderId="3" fillId="0" fontId="4" numFmtId="164" xfId="0">
      <alignment horizontal="center" indent="0" shrinkToFit="false" textRotation="0" vertical="center" wrapText="false"/>
    </xf>
    <xf applyAlignment="true" applyBorder="true" applyFont="true" applyProtection="false" borderId="2" fillId="0" fontId="7" numFmtId="164" xfId="0">
      <alignment horizontal="center" indent="0" shrinkToFit="false" textRotation="0" vertical="center" wrapText="false"/>
    </xf>
    <xf applyAlignment="false" applyBorder="true" applyFont="true" applyProtection="false" borderId="1" fillId="0" fontId="4" numFmtId="164" xfId="0"/>
    <xf applyAlignment="true" applyBorder="true" applyFont="true" applyProtection="false" borderId="3" fillId="0" fontId="7" numFmtId="164" xfId="0">
      <alignment horizontal="center" indent="0" shrinkToFit="false" textRotation="0" vertical="center" wrapText="false"/>
    </xf>
    <xf applyAlignment="true" applyBorder="true" applyFont="true" applyProtection="false" borderId="4" fillId="0" fontId="6" numFmtId="164" xfId="0">
      <alignment horizontal="center" indent="0" shrinkToFit="false" textRotation="0" vertical="center" wrapText="false"/>
    </xf>
    <xf applyAlignment="false" applyBorder="true" applyFont="true" applyProtection="false" borderId="0" fillId="0" fontId="4" numFmtId="164" xfId="0"/>
    <xf applyAlignment="false" applyBorder="true" applyFont="true" applyProtection="false" borderId="5" fillId="0" fontId="4" numFmtId="164" xfId="0"/>
    <xf applyAlignment="false" applyBorder="true" applyFont="true" applyProtection="false" borderId="4" fillId="0" fontId="4" numFmtId="164" xfId="0"/>
    <xf applyAlignment="true" applyBorder="true" applyFont="true" applyProtection="false" borderId="0" fillId="0" fontId="4" numFmtId="164" xfId="0">
      <alignment horizontal="center" indent="0" shrinkToFit="false" textRotation="0" vertical="center" wrapText="false"/>
    </xf>
    <xf applyAlignment="true" applyBorder="true" applyFont="true" applyProtection="false" borderId="5" fillId="0" fontId="4" numFmtId="164" xfId="0">
      <alignment horizontal="center" indent="0" shrinkToFit="false" textRotation="0" vertical="center" wrapText="false"/>
    </xf>
    <xf applyAlignment="true" applyBorder="true" applyFont="true" applyProtection="false" borderId="0" fillId="2" fontId="4" numFmtId="164" xfId="0">
      <alignment horizontal="general" indent="0" shrinkToFit="false" textRotation="0" vertical="bottom" wrapText="false"/>
    </xf>
    <xf applyAlignment="true" applyBorder="true" applyFont="true" applyProtection="false" borderId="4" fillId="0" fontId="7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7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7" numFmtId="164" xfId="0">
      <alignment horizontal="center" indent="0" shrinkToFit="false" textRotation="0" vertical="center" wrapText="false"/>
    </xf>
    <xf applyAlignment="true" applyBorder="true" applyFont="true" applyProtection="false" borderId="5" fillId="0" fontId="7" numFmtId="164" xfId="0">
      <alignment horizontal="center" indent="0" shrinkToFit="false" textRotation="0" vertical="center" wrapText="false"/>
    </xf>
    <xf applyAlignment="true" applyBorder="true" applyFont="true" applyProtection="false" borderId="4" fillId="0" fontId="4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4" numFmtId="165" xfId="0">
      <alignment horizontal="center" indent="0" shrinkToFit="false" textRotation="0" vertical="center" wrapText="false"/>
    </xf>
    <xf applyAlignment="true" applyBorder="true" applyFont="true" applyProtection="false" borderId="0" fillId="0" fontId="4" numFmtId="165" xfId="0">
      <alignment horizontal="center" indent="0" shrinkToFit="false" textRotation="0" vertical="center" wrapText="false"/>
    </xf>
    <xf applyAlignment="true" applyBorder="true" applyFont="true" applyProtection="false" borderId="5" fillId="0" fontId="4" numFmtId="165" xfId="0">
      <alignment horizontal="center" indent="0" shrinkToFit="false" textRotation="0" vertical="center" wrapText="false"/>
    </xf>
    <xf applyAlignment="true" applyBorder="true" applyFont="true" applyProtection="false" borderId="0" fillId="0" fontId="4" numFmtId="164" xfId="0">
      <alignment horizontal="general" indent="0" shrinkToFit="false" textRotation="0" vertical="bottom" wrapText="false"/>
    </xf>
    <xf applyAlignment="true" applyBorder="true" applyFont="true" applyProtection="false" borderId="0" fillId="0" fontId="4" numFmtId="164" xfId="0">
      <alignment horizontal="left" indent="0" shrinkToFit="false" textRotation="0" vertical="center" wrapText="false"/>
    </xf>
    <xf applyAlignment="false" applyBorder="true" applyFont="true" applyProtection="false" borderId="6" fillId="0" fontId="4" numFmtId="164" xfId="0"/>
    <xf applyAlignment="true" applyBorder="true" applyFont="true" applyProtection="false" borderId="7" fillId="0" fontId="4" numFmtId="164" xfId="0">
      <alignment horizontal="center" indent="0" shrinkToFit="false" textRotation="0" vertical="center" wrapText="false"/>
    </xf>
    <xf applyAlignment="true" applyBorder="true" applyFont="true" applyProtection="false" borderId="7" fillId="0" fontId="4" numFmtId="164" xfId="0">
      <alignment horizontal="general" indent="0" shrinkToFit="false" textRotation="0" vertical="bottom" wrapText="false"/>
    </xf>
    <xf applyAlignment="false" applyBorder="true" applyFont="true" applyProtection="false" borderId="8" fillId="0" fontId="4" numFmtId="164" xfId="0"/>
    <xf applyAlignment="false" applyBorder="true" applyFont="true" applyProtection="false" borderId="7" fillId="0" fontId="4" numFmtId="164" xfId="0"/>
    <xf applyAlignment="true" applyBorder="true" applyFont="true" applyProtection="false" borderId="6" fillId="0" fontId="6" numFmtId="164" xfId="0">
      <alignment horizontal="center" indent="0" shrinkToFit="false" textRotation="0" vertical="center" wrapText="false"/>
    </xf>
    <xf applyAlignment="true" applyBorder="true" applyFont="true" applyProtection="false" borderId="7" fillId="2" fontId="4" numFmtId="164" xfId="0">
      <alignment horizontal="general" indent="0" shrinkToFit="false" textRotation="0" vertical="bottom" wrapText="false"/>
    </xf>
    <xf applyAlignment="true" applyBorder="true" applyFont="true" applyProtection="false" borderId="9" fillId="0" fontId="7" numFmtId="164" xfId="0">
      <alignment horizontal="center" indent="0" shrinkToFit="false" textRotation="0" vertical="center" wrapText="true"/>
    </xf>
    <xf applyAlignment="true" applyBorder="true" applyFont="true" applyProtection="false" borderId="0" fillId="0" fontId="7" numFmtId="164" xfId="0">
      <alignment horizontal="center" indent="0" shrinkToFit="false" textRotation="0" vertical="center" wrapText="true"/>
    </xf>
    <xf applyAlignment="true" applyBorder="true" applyFont="true" applyProtection="false" borderId="5" fillId="0" fontId="7" numFmtId="164" xfId="0">
      <alignment horizontal="center" indent="0" shrinkToFit="false" textRotation="0" vertical="center" wrapText="true"/>
    </xf>
    <xf applyAlignment="true" applyBorder="true" applyFont="true" applyProtection="false" borderId="0" fillId="0" fontId="4" numFmtId="164" xfId="0">
      <alignment horizontal="center" indent="0" shrinkToFit="false" textRotation="0" vertical="center" wrapText="true"/>
    </xf>
    <xf applyAlignment="true" applyBorder="true" applyFont="true" applyProtection="false" borderId="7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8" fillId="0" fontId="4" numFmtId="164" xfId="0">
      <alignment horizontal="center" indent="0" shrinkToFit="false" textRotation="0" vertical="center" wrapText="false"/>
    </xf>
    <xf applyAlignment="false" applyBorder="true" applyFont="true" applyProtection="false" borderId="2" fillId="0" fontId="4" numFmtId="164" xfId="0"/>
    <xf applyAlignment="false" applyBorder="true" applyFont="true" applyProtection="false" borderId="3" fillId="0" fontId="4" numFmtId="164" xfId="0"/>
    <xf applyAlignment="true" applyBorder="true" applyFont="true" applyProtection="false" borderId="0" fillId="2" fontId="4" numFmtId="164" xfId="0">
      <alignment horizontal="center" indent="0" shrinkToFit="false" textRotation="0" vertical="center" wrapText="true"/>
    </xf>
    <xf applyAlignment="false" applyBorder="true" applyFont="true" applyProtection="false" borderId="10" fillId="0" fontId="4" numFmtId="164" xfId="0"/>
    <xf applyAlignment="true" applyBorder="true" applyFont="true" applyProtection="false" borderId="10" fillId="0" fontId="7" numFmtId="164" xfId="0">
      <alignment horizontal="center" indent="0" shrinkToFit="false" textRotation="0" vertical="center" wrapText="false"/>
    </xf>
    <xf applyAlignment="true" applyBorder="true" applyFont="true" applyProtection="false" borderId="0" fillId="2" fontId="4" numFmtId="165" xfId="0">
      <alignment horizontal="center" indent="0" shrinkToFit="false" textRotation="0" vertical="center" wrapText="false"/>
    </xf>
    <xf applyAlignment="false" applyBorder="true" applyFont="true" applyProtection="false" borderId="0" fillId="0" fontId="7" numFmtId="164" xfId="0"/>
    <xf applyAlignment="true" applyBorder="true" applyFont="true" applyProtection="false" borderId="7" fillId="0" fontId="4" numFmtId="165" xfId="0">
      <alignment horizontal="center" indent="0" shrinkToFit="false" textRotation="0" vertical="center" wrapText="false"/>
    </xf>
    <xf applyAlignment="true" applyBorder="true" applyFont="true" applyProtection="false" borderId="7" fillId="2" fontId="4" numFmtId="165" xfId="0">
      <alignment horizontal="center" indent="0" shrinkToFit="false" textRotation="0" vertical="center" wrapText="false"/>
    </xf>
    <xf applyAlignment="true" applyBorder="true" applyFont="true" applyProtection="false" borderId="11" fillId="0" fontId="4" numFmtId="165" xfId="0">
      <alignment horizontal="center" indent="0" shrinkToFit="false" textRotation="0" vertical="center" wrapText="false"/>
    </xf>
    <xf applyAlignment="true" applyBorder="true" applyFont="true" applyProtection="false" borderId="11" fillId="2" fontId="4" numFmtId="165" xfId="0">
      <alignment horizontal="center" indent="0" shrinkToFit="false" textRotation="0" vertical="center" wrapText="false"/>
    </xf>
    <xf applyAlignment="true" applyBorder="true" applyFont="true" applyProtection="false" borderId="2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0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12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11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13" fillId="0" fontId="9" numFmtId="165" xfId="0">
      <alignment horizontal="center" indent="0" shrinkToFit="false" textRotation="0" vertical="center" wrapText="true"/>
    </xf>
    <xf applyAlignment="true" applyBorder="true" applyFont="true" applyProtection="false" borderId="0" fillId="0" fontId="6" numFmtId="164" xfId="0">
      <alignment horizontal="left" indent="0" shrinkToFit="false" textRotation="0" vertical="bottom" wrapText="false"/>
    </xf>
    <xf applyAlignment="true" applyBorder="true" applyFont="true" applyProtection="false" borderId="0" fillId="0" fontId="10" numFmtId="164" xfId="0">
      <alignment horizontal="center" indent="0" shrinkToFit="false" textRotation="0" vertical="center" wrapText="false"/>
    </xf>
    <xf applyAlignment="true" applyBorder="true" applyFont="true" applyProtection="false" borderId="14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8" fillId="0" fontId="7" numFmtId="165" xfId="0">
      <alignment horizontal="center" indent="0" shrinkToFit="false" textRotation="0" vertical="center" wrapText="true"/>
    </xf>
    <xf applyAlignment="true" applyBorder="true" applyFont="true" applyProtection="false" borderId="4" fillId="0" fontId="7" numFmtId="164" xfId="0">
      <alignment horizontal="center" indent="0" shrinkToFit="false" textRotation="0" vertical="center" wrapText="true"/>
    </xf>
    <xf applyAlignment="true" applyBorder="true" applyFont="true" applyProtection="false" borderId="0" fillId="2" fontId="4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4" numFmtId="165" xfId="0">
      <alignment horizontal="center" indent="0" shrinkToFit="false" textRotation="0" vertical="center" wrapText="true"/>
    </xf>
    <xf applyAlignment="true" applyBorder="true" applyFont="true" applyProtection="false" borderId="5" fillId="2" fontId="4" numFmtId="164" xfId="0">
      <alignment horizontal="center" indent="0" shrinkToFit="false" textRotation="0" vertical="center" wrapText="true"/>
    </xf>
    <xf applyAlignment="true" applyBorder="true" applyFont="true" applyProtection="false" borderId="4" fillId="0" fontId="4" numFmtId="164" xfId="0">
      <alignment horizontal="center" indent="0" shrinkToFit="false" textRotation="0" vertical="center" wrapText="true"/>
    </xf>
    <xf applyAlignment="true" applyBorder="true" applyFont="true" applyProtection="false" borderId="0" fillId="2" fontId="4" numFmtId="165" xfId="0">
      <alignment horizontal="center" indent="0" shrinkToFit="false" textRotation="0" vertical="center" wrapText="true"/>
    </xf>
    <xf applyAlignment="true" applyBorder="true" applyFont="true" applyProtection="false" borderId="5" fillId="2" fontId="4" numFmtId="165" xfId="0">
      <alignment horizontal="center" indent="0" shrinkToFit="false" textRotation="0" vertical="center" wrapText="true"/>
    </xf>
    <xf applyAlignment="true" applyBorder="true" applyFont="true" applyProtection="false" borderId="6" fillId="0" fontId="4" numFmtId="164" xfId="0">
      <alignment horizontal="center" indent="0" shrinkToFit="false" textRotation="0" vertical="center" wrapText="true"/>
    </xf>
    <xf applyAlignment="true" applyBorder="true" applyFont="true" applyProtection="false" borderId="7" fillId="0" fontId="4" numFmtId="165" xfId="0">
      <alignment horizontal="center" indent="0" shrinkToFit="false" textRotation="0" vertical="center" wrapText="true"/>
    </xf>
    <xf applyAlignment="true" applyBorder="true" applyFont="true" applyProtection="false" borderId="8" fillId="0" fontId="4" numFmtId="165" xfId="0">
      <alignment horizontal="center" indent="0" shrinkToFit="false" textRotation="0" vertical="center" wrapText="true"/>
    </xf>
    <xf applyAlignment="false" applyBorder="false" applyFont="true" applyProtection="false" borderId="0" fillId="0" fontId="7" numFmtId="164" xfId="0"/>
    <xf applyAlignment="false" applyBorder="false" applyFont="true" applyProtection="false" borderId="0" fillId="0" fontId="10" numFmtId="164" xfId="0"/>
    <xf applyAlignment="false" applyBorder="true" applyFont="true" applyProtection="false" borderId="0" fillId="0" fontId="10" numFmtId="164" xfId="0"/>
    <xf applyAlignment="true" applyBorder="true" applyFont="true" applyProtection="false" borderId="2" fillId="2" fontId="4" numFmtId="164" xfId="0">
      <alignment horizontal="center" indent="0" shrinkToFit="false" textRotation="0" vertical="center" wrapText="false"/>
    </xf>
    <xf applyAlignment="true" applyBorder="true" applyFont="true" applyProtection="false" borderId="3" fillId="0" fontId="11" numFmtId="164" xfId="0">
      <alignment horizontal="center" indent="0" shrinkToFit="false" textRotation="0" vertical="center" wrapText="false"/>
    </xf>
    <xf applyAlignment="true" applyBorder="true" applyFont="true" applyProtection="false" borderId="1" fillId="0" fontId="11" numFmtId="164" xfId="0">
      <alignment horizontal="center" indent="0" shrinkToFit="false" textRotation="0" vertical="center" wrapText="false"/>
    </xf>
    <xf applyAlignment="true" applyBorder="true" applyFont="true" applyProtection="false" borderId="3" fillId="0" fontId="8" numFmtId="164" xfId="0">
      <alignment horizontal="center" indent="0" shrinkToFit="false" textRotation="0" vertical="center" wrapText="false"/>
    </xf>
    <xf applyAlignment="true" applyBorder="true" applyFont="true" applyProtection="false" borderId="5" fillId="0" fontId="11" numFmtId="164" xfId="0">
      <alignment horizontal="center" indent="0" shrinkToFit="false" textRotation="0" vertical="center" wrapText="false"/>
    </xf>
    <xf applyAlignment="true" applyBorder="true" applyFont="true" applyProtection="false" borderId="0" fillId="2" fontId="4" numFmtId="164" xfId="0">
      <alignment horizontal="center" indent="0" shrinkToFit="false" textRotation="0" vertical="bottom" wrapText="false"/>
    </xf>
    <xf applyAlignment="false" applyBorder="true" applyFont="true" applyProtection="false" borderId="4" fillId="0" fontId="10" numFmtId="164" xfId="0"/>
    <xf applyAlignment="true" applyBorder="true" applyFont="true" applyProtection="false" borderId="0" fillId="0" fontId="10" numFmtId="164" xfId="0">
      <alignment horizontal="left" indent="0" shrinkToFit="false" textRotation="0" vertical="center" wrapText="false"/>
    </xf>
    <xf applyAlignment="false" applyBorder="true" applyFont="true" applyProtection="false" borderId="5" fillId="0" fontId="10" numFmtId="164" xfId="0"/>
    <xf applyAlignment="true" applyBorder="true" applyFont="true" applyProtection="false" borderId="4" fillId="0" fontId="10" numFmtId="164" xfId="0">
      <alignment horizontal="left" indent="0" shrinkToFit="false" textRotation="0" vertical="center" wrapText="false"/>
    </xf>
    <xf applyAlignment="true" applyBorder="true" applyFont="true" applyProtection="false" borderId="7" fillId="0" fontId="10" numFmtId="164" xfId="0">
      <alignment horizontal="center" indent="0" shrinkToFit="false" textRotation="0" vertical="center" wrapText="false"/>
    </xf>
    <xf applyAlignment="true" applyBorder="true" applyFont="true" applyProtection="false" borderId="6" fillId="0" fontId="10" numFmtId="164" xfId="0">
      <alignment horizontal="left" indent="0" shrinkToFit="false" textRotation="0" vertical="center" wrapText="false"/>
    </xf>
    <xf applyAlignment="true" applyBorder="true" applyFont="true" applyProtection="false" borderId="7" fillId="2" fontId="4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10" numFmtId="164" xfId="0">
      <alignment horizontal="center" indent="0" shrinkToFit="false" textRotation="0" vertical="center" wrapText="true"/>
    </xf>
    <xf applyAlignment="true" applyBorder="true" applyFont="true" applyProtection="false" borderId="0" fillId="0" fontId="10" numFmtId="165" xfId="0">
      <alignment horizontal="center" indent="0" shrinkToFit="false" textRotation="0" vertical="center" wrapText="false"/>
    </xf>
    <xf applyAlignment="true" applyBorder="true" applyFont="true" applyProtection="false" borderId="11" fillId="0" fontId="4" numFmtId="165" xfId="0">
      <alignment horizontal="center" indent="0" shrinkToFit="false" textRotation="0" vertical="center" wrapText="false"/>
    </xf>
    <xf applyAlignment="true" applyBorder="true" applyFont="true" applyProtection="false" borderId="4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0" fillId="0" fontId="12" numFmtId="164" xfId="0">
      <alignment horizontal="center" indent="0" shrinkToFit="false" textRotation="0" vertical="center" wrapText="true"/>
    </xf>
    <xf applyAlignment="true" applyBorder="true" applyFont="true" applyProtection="false" borderId="0" fillId="0" fontId="13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13" numFmtId="165" xfId="0">
      <alignment horizontal="center" indent="0" shrinkToFit="false" textRotation="0" vertical="center" wrapText="true"/>
    </xf>
    <xf applyAlignment="true" applyBorder="true" applyFont="true" applyProtection="false" borderId="5" fillId="0" fontId="13" numFmtId="164" xfId="0">
      <alignment horizontal="center" indent="0" shrinkToFit="false" textRotation="0" vertical="center" wrapText="true"/>
    </xf>
    <xf applyAlignment="true" applyBorder="true" applyFont="true" applyProtection="false" borderId="0" fillId="2" fontId="13" numFmtId="165" xfId="0">
      <alignment horizontal="center" indent="0" shrinkToFit="false" textRotation="0" vertical="center" wrapText="false"/>
    </xf>
    <xf applyAlignment="true" applyBorder="true" applyFont="true" applyProtection="false" borderId="0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5" fillId="2" fontId="13" numFmtId="165" xfId="0">
      <alignment horizontal="center" indent="0" shrinkToFit="false" textRotation="0" vertical="center" wrapText="true"/>
    </xf>
    <xf applyAlignment="true" applyBorder="true" applyFont="true" applyProtection="false" borderId="5" fillId="0" fontId="8" numFmtId="164" xfId="0">
      <alignment horizontal="center" indent="0" shrinkToFit="false" textRotation="0" vertical="center" wrapText="true"/>
    </xf>
    <xf applyAlignment="true" applyBorder="true" applyFont="true" applyProtection="false" borderId="7" fillId="2" fontId="10" numFmtId="165" xfId="0">
      <alignment horizontal="center" indent="0" shrinkToFit="false" textRotation="0" vertical="center" wrapText="true"/>
    </xf>
    <xf applyAlignment="true" applyBorder="true" applyFont="true" applyProtection="false" borderId="8" fillId="2" fontId="10" numFmtId="165" xfId="0">
      <alignment horizontal="center" indent="0" shrinkToFit="false" textRotation="0" vertical="center" wrapText="true"/>
    </xf>
    <xf applyAlignment="true" applyBorder="true" applyFont="true" applyProtection="false" borderId="0" fillId="0" fontId="15" numFmtId="164" xfId="0">
      <alignment horizontal="center" indent="0" shrinkToFit="false" textRotation="0" vertical="center" wrapText="false"/>
    </xf>
    <xf applyAlignment="true" applyBorder="true" applyFont="true" applyProtection="false" borderId="0" fillId="0" fontId="16" numFmtId="164" xfId="0">
      <alignment horizontal="center" indent="0" shrinkToFit="false" textRotation="0" vertical="center" wrapText="true"/>
    </xf>
  </cellXfs>
  <cellStyles count="6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2D05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
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 sz="1400">
                <a:solidFill>
                  <a:srgbClr val="000000"/>
                </a:solidFill>
                <a:latin typeface="Calibri"/>
              </a:rPr>
              <a:t>PER Comparison</a:t>
            </a:r>
          </a:p>
        </c:rich>
      </c:tx>
    </c:title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 sz="1400">
                <a:solidFill>
                  <a:srgbClr val="000000"/>
                </a:solidFill>
                <a:latin typeface="Calibri"/>
              </a:rPr>
              <a:t>Throughput Comparison</a:t>
            </a:r>
          </a:p>
        </c:rich>
      </c:tx>
    </c:title>
    <c:plotArea>
      <c:layout/>
      <c:scatterChart>
        <c:scatterStyle val="lineMarker"/>
        <c:ser>
          <c:idx val="0"/>
          <c:order val="0"/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/>
        </c:ser>
        <c:ser>
          <c:idx val="1"/>
          <c:order val="1"/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/>
        </c:ser>
        <c:ser>
          <c:idx val="2"/>
          <c:order val="2"/>
          <c:spPr>
            <a:solidFill>
              <a:srgbClr val="98b855"/>
            </a:solidFill>
            <a:ln w="28440">
              <a:solidFill>
                <a:srgbClr val="98b855"/>
              </a:solidFill>
              <a:round/>
            </a:ln>
          </c:spPr>
          <c:marker/>
        </c:ser>
        <c:ser>
          <c:idx val="3"/>
          <c:order val="3"/>
          <c:spPr>
            <a:solidFill>
              <a:srgbClr val="7d5fa0"/>
            </a:solidFill>
            <a:ln w="28440">
              <a:solidFill>
                <a:srgbClr val="7d5fa0"/>
              </a:solidFill>
              <a:round/>
            </a:ln>
          </c:spPr>
          <c:marker/>
        </c:ser>
        <c:ser>
          <c:idx val="4"/>
          <c:order val="4"/>
          <c:spPr>
            <a:solidFill>
              <a:srgbClr val="898989"/>
            </a:solidFill>
            <a:ln w="28440">
              <a:solidFill>
                <a:srgbClr val="898989"/>
              </a:solidFill>
              <a:round/>
            </a:ln>
          </c:spPr>
          <c:marker/>
        </c:ser>
        <c:ser>
          <c:idx val="5"/>
          <c:order val="5"/>
          <c:spPr>
            <a:solidFill>
              <a:srgbClr val="000000"/>
            </a:solidFill>
            <a:ln w="28440">
              <a:solidFill>
                <a:srgbClr val="000000"/>
              </a:solidFill>
              <a:round/>
            </a:ln>
          </c:spPr>
          <c:marker/>
        </c:ser>
        <c:axId val="23937220"/>
        <c:axId val="6208634"/>
      </c:scatterChart>
      <c:valAx>
        <c:axId val="23937220"/>
        <c:scaling>
          <c:orientation val="minMax"/>
          <c:max val="130"/>
          <c:min val="4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Pathloss (dB)</a:t>
                </a:r>
              </a:p>
            </c:rich>
          </c:tx>
        </c:title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878787"/>
              </a:solidFill>
              <a:round/>
            </a:ln>
          </c:spPr>
        </c:minorGridlines>
        <c:majorTickMark val="none"/>
        <c:minorTickMark val="none"/>
        <c:tickLblPos val="nextTo"/>
        <c:crossAx val="6208634"/>
        <c:crossesAt val="0"/>
        <c:spPr>
          <a:ln w="9360">
            <a:solidFill>
              <a:srgbClr val="878787"/>
            </a:solidFill>
            <a:round/>
          </a:ln>
        </c:spPr>
      </c:valAx>
      <c:valAx>
        <c:axId val="6208634"/>
        <c:scaling>
          <c:orientation val="minMax"/>
          <c:max val="150"/>
        </c:scaling>
        <c:title>
          <c:layout/>
          <c:tx>
            <c:rich>
              <a:bodyPr/>
              <a:lstStyle/>
              <a:p>
                <a:pPr>
                  <a:defRPr/>
                </a:pPr>
                <a:r>
                  <a:rPr b="1" sz="1200">
                    <a:solidFill>
                      <a:srgbClr val="000000"/>
                    </a:solidFill>
                    <a:latin typeface="Calibri"/>
                  </a:rPr>
                  <a:t>Throughput (mbps)</a:t>
                </a:r>
              </a:p>
            </c:rich>
          </c:tx>
        </c:title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none"/>
        <c:minorTickMark val="none"/>
        <c:tickLblPos val="nextTo"/>
        <c:crossAx val="23937220"/>
        <c:crossesAt val="0"/>
        <c:majorUnit val="10"/>
        <c:spPr>
          <a:ln w="9360">
            <a:solidFill>
              <a:srgbClr val="878787"/>
            </a:solidFill>
            <a:round/>
          </a:ln>
        </c:spPr>
      </c:valAx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 sz="1400">
                <a:solidFill>
                  <a:srgbClr val="000000"/>
                </a:solidFill>
                <a:latin typeface="Calibri"/>
              </a:rPr>
              <a:t>PER Comparison</a:t>
            </a:r>
          </a:p>
        </c:rich>
      </c:tx>
    </c:title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lang val="en-US"/>
  <c:chart>
    <c:title>
      <c:layout/>
      <c:tx>
        <c:rich>
          <a:bodyPr/>
          <a:lstStyle/>
          <a:p>
            <a:pPr>
              <a:defRPr/>
            </a:pPr>
            <a:r>
              <a:rPr b="1" sz="1400">
                <a:solidFill>
                  <a:srgbClr val="000000"/>
                </a:solidFill>
                <a:latin typeface="Calibri"/>
              </a:rPr>
              <a:t>PER Comparison</a:t>
            </a:r>
          </a:p>
        </c:rich>
      </c:tx>
    </c:title>
    <c:plotArea>
      <c:layout/>
      <c:spPr>
        <a:solidFill>
          <a:srgbClr val="ffffff"/>
        </a:solidFill>
      </c:spPr>
    </c:plotArea>
    <c:legend>
      <c:legendPos val="r"/>
      <c:spPr/>
    </c:legend>
    <c:plotVisOnly val="1"/>
  </c:chart>
  <c:spPr/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Relationship Id="rId4" Type="http://schemas.openxmlformats.org/officeDocument/2006/relationships/chart" Target="../charts/chart6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
</Relationships>
</file>

<file path=xl/drawings/drawing1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1</xdr:col>
      <xdr:colOff>27000</xdr:colOff>
      <xdr:row>221</xdr:row>
      <xdr:rowOff>133920</xdr:rowOff>
    </xdr:from>
    <xdr:to>
      <xdr:col>17</xdr:col>
      <xdr:colOff>26640</xdr:colOff>
      <xdr:row>264</xdr:row>
      <xdr:rowOff>150120</xdr:rowOff>
    </xdr:to>
    <xdr:graphicFrame>
      <xdr:nvGraphicFramePr>
        <xdr:cNvPr id="0" name="Chart 1"/>
        <xdr:cNvGraphicFramePr/>
      </xdr:nvGraphicFramePr>
      <xdr:xfrm>
        <a:off x="836640" y="35366040"/>
        <a:ext cx="12955680" cy="6871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177</xdr:row>
      <xdr:rowOff>150480</xdr:rowOff>
    </xdr:from>
    <xdr:to>
      <xdr:col>17</xdr:col>
      <xdr:colOff>26640</xdr:colOff>
      <xdr:row>220</xdr:row>
      <xdr:rowOff>150120</xdr:rowOff>
    </xdr:to>
    <xdr:graphicFrame>
      <xdr:nvGraphicFramePr>
        <xdr:cNvPr id="1" name="Chart 2"/>
        <xdr:cNvGraphicFramePr/>
      </xdr:nvGraphicFramePr>
      <xdr:xfrm>
        <a:off x="836640" y="28368000"/>
        <a:ext cx="12955680" cy="6854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1</xdr:col>
      <xdr:colOff>27000</xdr:colOff>
      <xdr:row>5</xdr:row>
      <xdr:rowOff>237960</xdr:rowOff>
    </xdr:from>
    <xdr:to>
      <xdr:col>19</xdr:col>
      <xdr:colOff>26640</xdr:colOff>
      <xdr:row>31</xdr:row>
      <xdr:rowOff>237600</xdr:rowOff>
    </xdr:to>
    <xdr:graphicFrame>
      <xdr:nvGraphicFramePr>
        <xdr:cNvPr id="2" name="Chart 1"/>
        <xdr:cNvGraphicFramePr/>
      </xdr:nvGraphicFramePr>
      <xdr:xfrm>
        <a:off x="782640" y="1471320"/>
        <a:ext cx="13607640" cy="64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35</xdr:row>
      <xdr:rowOff>237600</xdr:rowOff>
    </xdr:from>
    <xdr:to>
      <xdr:col>19</xdr:col>
      <xdr:colOff>26640</xdr:colOff>
      <xdr:row>61</xdr:row>
      <xdr:rowOff>237240</xdr:rowOff>
    </xdr:to>
    <xdr:graphicFrame>
      <xdr:nvGraphicFramePr>
        <xdr:cNvPr id="3" name="Chart 2"/>
        <xdr:cNvGraphicFramePr/>
      </xdr:nvGraphicFramePr>
      <xdr:xfrm>
        <a:off x="782640" y="8872920"/>
        <a:ext cx="13607640" cy="64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27000</xdr:colOff>
      <xdr:row>65</xdr:row>
      <xdr:rowOff>237600</xdr:rowOff>
    </xdr:from>
    <xdr:to>
      <xdr:col>19</xdr:col>
      <xdr:colOff>26640</xdr:colOff>
      <xdr:row>91</xdr:row>
      <xdr:rowOff>237240</xdr:rowOff>
    </xdr:to>
    <xdr:graphicFrame>
      <xdr:nvGraphicFramePr>
        <xdr:cNvPr id="4" name="Chart 3"/>
        <xdr:cNvGraphicFramePr/>
      </xdr:nvGraphicFramePr>
      <xdr:xfrm>
        <a:off x="782640" y="16274520"/>
        <a:ext cx="13607640" cy="64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27000</xdr:colOff>
      <xdr:row>95</xdr:row>
      <xdr:rowOff>237960</xdr:rowOff>
    </xdr:from>
    <xdr:to>
      <xdr:col>19</xdr:col>
      <xdr:colOff>26640</xdr:colOff>
      <xdr:row>121</xdr:row>
      <xdr:rowOff>237600</xdr:rowOff>
    </xdr:to>
    <xdr:graphicFrame>
      <xdr:nvGraphicFramePr>
        <xdr:cNvPr id="5" name="Chart 4"/>
        <xdr:cNvGraphicFramePr/>
      </xdr:nvGraphicFramePr>
      <xdr:xfrm>
        <a:off x="782640" y="23676480"/>
        <a:ext cx="13607640" cy="64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1</xdr:col>
      <xdr:colOff>27000</xdr:colOff>
      <xdr:row>4</xdr:row>
      <xdr:rowOff>237600</xdr:rowOff>
    </xdr:from>
    <xdr:to>
      <xdr:col>17</xdr:col>
      <xdr:colOff>26640</xdr:colOff>
      <xdr:row>30</xdr:row>
      <xdr:rowOff>237240</xdr:rowOff>
    </xdr:to>
    <xdr:graphicFrame>
      <xdr:nvGraphicFramePr>
        <xdr:cNvPr id="6" name="Chart 5"/>
        <xdr:cNvGraphicFramePr/>
      </xdr:nvGraphicFramePr>
      <xdr:xfrm>
        <a:off x="836640" y="1224360"/>
        <a:ext cx="12955680" cy="64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27000</xdr:colOff>
      <xdr:row>34</xdr:row>
      <xdr:rowOff>237960</xdr:rowOff>
    </xdr:from>
    <xdr:to>
      <xdr:col>17</xdr:col>
      <xdr:colOff>26640</xdr:colOff>
      <xdr:row>60</xdr:row>
      <xdr:rowOff>237600</xdr:rowOff>
    </xdr:to>
    <xdr:graphicFrame>
      <xdr:nvGraphicFramePr>
        <xdr:cNvPr id="7" name="Chart 6"/>
        <xdr:cNvGraphicFramePr/>
      </xdr:nvGraphicFramePr>
      <xdr:xfrm>
        <a:off x="836640" y="8626320"/>
        <a:ext cx="12955680" cy="641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S171"/>
  <sheetViews>
    <sheetView colorId="64" defaultGridColor="true" rightToLeft="false" showFormulas="false" showGridLines="true" showOutlineSymbols="true" showRowColHeaders="true" showZeros="true" tabSelected="false" topLeftCell="A32" view="normal" windowProtection="false" workbookViewId="0" zoomScale="85" zoomScaleNormal="85" zoomScalePageLayoutView="100">
      <pane activePane="topLeft" topLeftCell="A32" xSplit="0" ySplit="-1"/>
      <selection activeCell="B168" activeCellId="0" pane="topLeft" sqref="B168"/>
      <selection activeCell="A32" activeCellId="0" pane="bottomLeft" sqref="A32"/>
    </sheetView>
  </sheetViews>
  <cols>
    <col collapsed="false" hidden="false" max="1025" min="1" style="1" width="9.18039215686274"/>
  </cols>
  <sheetData>
    <row collapsed="false" customFormat="false" customHeight="true" hidden="false" ht="20.25" outlineLevel="0" r="1">
      <c r="C1" s="2" t="s">
        <v>0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collapsed="false" customFormat="false" customHeight="false" hidden="false" ht="11.6" outlineLevel="0" r="2">
      <c r="G2" s="3"/>
      <c r="H2" s="3"/>
      <c r="I2" s="3"/>
      <c r="J2" s="3"/>
      <c r="K2" s="3"/>
      <c r="L2" s="3"/>
      <c r="M2" s="3"/>
      <c r="N2" s="3"/>
      <c r="R2" s="4" t="s">
        <v>1</v>
      </c>
    </row>
    <row collapsed="false" customFormat="false" customHeight="true" hidden="false" ht="12" outlineLevel="0" r="3">
      <c r="B3" s="5" t="n">
        <v>1</v>
      </c>
      <c r="C3" s="6" t="s">
        <v>2</v>
      </c>
      <c r="D3" s="6"/>
      <c r="E3" s="7"/>
      <c r="F3" s="8"/>
      <c r="G3" s="5"/>
      <c r="H3" s="9" t="s">
        <v>3</v>
      </c>
      <c r="I3" s="9"/>
      <c r="J3" s="9"/>
      <c r="K3" s="9"/>
      <c r="L3" s="8"/>
      <c r="M3" s="10"/>
      <c r="N3" s="9" t="s">
        <v>4</v>
      </c>
      <c r="O3" s="9"/>
      <c r="P3" s="9"/>
      <c r="Q3" s="11"/>
      <c r="R3" s="4" t="s">
        <v>5</v>
      </c>
    </row>
    <row collapsed="false" customFormat="false" customHeight="false" hidden="false" ht="11.6" outlineLevel="0" r="4">
      <c r="B4" s="12"/>
      <c r="C4" s="3"/>
      <c r="D4" s="3"/>
      <c r="E4" s="13"/>
      <c r="F4" s="14"/>
      <c r="G4" s="15"/>
      <c r="H4" s="16"/>
      <c r="I4" s="16"/>
      <c r="J4" s="16"/>
      <c r="K4" s="16"/>
      <c r="L4" s="17"/>
      <c r="M4" s="15"/>
      <c r="N4" s="3"/>
      <c r="O4" s="3"/>
      <c r="P4" s="3"/>
      <c r="Q4" s="14"/>
      <c r="R4" s="4" t="s">
        <v>6</v>
      </c>
    </row>
    <row collapsed="false" customFormat="false" customHeight="false" hidden="false" ht="11.6" outlineLevel="0" r="5">
      <c r="B5" s="12" t="n">
        <v>2</v>
      </c>
      <c r="C5" s="16" t="s">
        <v>7</v>
      </c>
      <c r="D5" s="16"/>
      <c r="E5" s="18"/>
      <c r="F5" s="14"/>
      <c r="G5" s="19" t="s">
        <v>8</v>
      </c>
      <c r="H5" s="20" t="s">
        <v>1</v>
      </c>
      <c r="I5" s="20"/>
      <c r="J5" s="21" t="s">
        <v>9</v>
      </c>
      <c r="K5" s="20" t="s">
        <v>10</v>
      </c>
      <c r="L5" s="22" t="s">
        <v>11</v>
      </c>
      <c r="M5" s="12" t="n">
        <v>5</v>
      </c>
      <c r="N5" s="16" t="s">
        <v>12</v>
      </c>
      <c r="O5" s="16"/>
      <c r="P5" s="18"/>
      <c r="Q5" s="14"/>
      <c r="R5" s="4" t="s">
        <v>13</v>
      </c>
    </row>
    <row collapsed="false" customFormat="false" customHeight="false" hidden="false" ht="11.6" outlineLevel="0" r="6">
      <c r="B6" s="12" t="n">
        <v>3</v>
      </c>
      <c r="C6" s="16" t="s">
        <v>14</v>
      </c>
      <c r="D6" s="16"/>
      <c r="E6" s="18"/>
      <c r="F6" s="14"/>
      <c r="G6" s="23" t="s">
        <v>15</v>
      </c>
      <c r="H6" s="16"/>
      <c r="I6" s="16"/>
      <c r="J6" s="24"/>
      <c r="K6" s="25"/>
      <c r="L6" s="26"/>
      <c r="M6" s="12" t="n">
        <v>6</v>
      </c>
      <c r="N6" s="16" t="s">
        <v>16</v>
      </c>
      <c r="O6" s="16"/>
      <c r="P6" s="18"/>
      <c r="Q6" s="14"/>
      <c r="R6" s="4" t="s">
        <v>17</v>
      </c>
    </row>
    <row collapsed="false" customFormat="false" customHeight="false" hidden="false" ht="11.6" outlineLevel="0" r="7">
      <c r="B7" s="12" t="n">
        <v>4</v>
      </c>
      <c r="C7" s="16" t="s">
        <v>18</v>
      </c>
      <c r="D7" s="16"/>
      <c r="E7" s="18"/>
      <c r="F7" s="14"/>
      <c r="G7" s="23" t="s">
        <v>19</v>
      </c>
      <c r="H7" s="16" t="s">
        <v>20</v>
      </c>
      <c r="I7" s="16"/>
      <c r="J7" s="24"/>
      <c r="K7" s="25"/>
      <c r="L7" s="26"/>
      <c r="M7" s="12" t="n">
        <v>7</v>
      </c>
      <c r="N7" s="16" t="s">
        <v>21</v>
      </c>
      <c r="O7" s="16"/>
      <c r="P7" s="18"/>
      <c r="Q7" s="14"/>
    </row>
    <row collapsed="false" customFormat="false" customHeight="false" hidden="false" ht="11.6" outlineLevel="0" r="8">
      <c r="B8" s="15"/>
      <c r="C8" s="16"/>
      <c r="D8" s="27"/>
      <c r="E8" s="27"/>
      <c r="F8" s="14"/>
      <c r="G8" s="23" t="s">
        <v>22</v>
      </c>
      <c r="H8" s="16" t="s">
        <v>23</v>
      </c>
      <c r="I8" s="16"/>
      <c r="J8" s="24"/>
      <c r="K8" s="25"/>
      <c r="L8" s="26"/>
      <c r="M8" s="12" t="n">
        <v>8</v>
      </c>
      <c r="N8" s="16" t="s">
        <v>24</v>
      </c>
      <c r="O8" s="16"/>
      <c r="P8" s="18"/>
      <c r="Q8" s="14"/>
      <c r="R8" s="4" t="s">
        <v>25</v>
      </c>
    </row>
    <row collapsed="false" customFormat="false" customHeight="false" hidden="false" ht="11.6" outlineLevel="0" r="9">
      <c r="B9" s="15"/>
      <c r="C9" s="16"/>
      <c r="D9" s="27"/>
      <c r="E9" s="27"/>
      <c r="F9" s="14"/>
      <c r="G9" s="23" t="s">
        <v>26</v>
      </c>
      <c r="H9" s="16" t="s">
        <v>27</v>
      </c>
      <c r="I9" s="16"/>
      <c r="J9" s="24"/>
      <c r="K9" s="25"/>
      <c r="L9" s="26"/>
      <c r="M9" s="12" t="n">
        <v>9</v>
      </c>
      <c r="N9" s="16" t="s">
        <v>28</v>
      </c>
      <c r="O9" s="16"/>
      <c r="P9" s="18"/>
      <c r="Q9" s="14"/>
      <c r="R9" s="4" t="s">
        <v>29</v>
      </c>
    </row>
    <row collapsed="false" customFormat="false" customHeight="false" hidden="false" ht="11.6" outlineLevel="0" r="10">
      <c r="B10" s="15"/>
      <c r="C10" s="16"/>
      <c r="D10" s="27"/>
      <c r="E10" s="27"/>
      <c r="F10" s="14"/>
      <c r="G10" s="15"/>
      <c r="H10" s="28"/>
      <c r="I10" s="3"/>
      <c r="J10" s="3"/>
      <c r="K10" s="16"/>
      <c r="L10" s="14"/>
      <c r="M10" s="12" t="n">
        <v>10</v>
      </c>
      <c r="N10" s="16" t="s">
        <v>30</v>
      </c>
      <c r="O10" s="16"/>
      <c r="P10" s="18"/>
      <c r="Q10" s="14"/>
      <c r="R10" s="4" t="s">
        <v>31</v>
      </c>
    </row>
    <row collapsed="false" customFormat="false" customHeight="false" hidden="false" ht="11.6" outlineLevel="0" r="11">
      <c r="B11" s="29"/>
      <c r="C11" s="30"/>
      <c r="D11" s="31"/>
      <c r="E11" s="31"/>
      <c r="F11" s="32"/>
      <c r="G11" s="29"/>
      <c r="H11" s="33"/>
      <c r="I11" s="33"/>
      <c r="J11" s="33"/>
      <c r="K11" s="30"/>
      <c r="L11" s="32"/>
      <c r="M11" s="34" t="n">
        <v>11</v>
      </c>
      <c r="N11" s="30" t="s">
        <v>32</v>
      </c>
      <c r="O11" s="30"/>
      <c r="P11" s="35"/>
      <c r="Q11" s="32"/>
      <c r="R11" s="4" t="s">
        <v>33</v>
      </c>
    </row>
    <row collapsed="false" customFormat="false" customHeight="false" hidden="false" ht="11.6" outlineLevel="0" r="12">
      <c r="G12" s="3"/>
      <c r="R12" s="4" t="s">
        <v>34</v>
      </c>
    </row>
    <row collapsed="false" customFormat="false" customHeight="true" hidden="false" ht="12" outlineLevel="0" r="13">
      <c r="B13" s="36" t="s">
        <v>35</v>
      </c>
      <c r="C13" s="36"/>
      <c r="D13" s="36"/>
      <c r="E13" s="36"/>
      <c r="F13" s="36"/>
      <c r="G13" s="36"/>
      <c r="H13" s="36"/>
      <c r="I13" s="36"/>
      <c r="J13" s="36" t="s">
        <v>36</v>
      </c>
      <c r="K13" s="36"/>
      <c r="L13" s="36"/>
      <c r="M13" s="36"/>
      <c r="N13" s="36"/>
      <c r="O13" s="36"/>
      <c r="P13" s="36"/>
      <c r="Q13" s="36"/>
      <c r="R13" s="4" t="s">
        <v>37</v>
      </c>
    </row>
    <row collapsed="false" customFormat="false" customHeight="false" hidden="false" ht="11.6" outlineLevel="0" r="14">
      <c r="B14" s="15"/>
      <c r="C14" s="37"/>
      <c r="D14" s="37"/>
      <c r="E14" s="37"/>
      <c r="F14" s="37"/>
      <c r="G14" s="37"/>
      <c r="H14" s="37"/>
      <c r="I14" s="38"/>
      <c r="J14" s="37"/>
      <c r="K14" s="37"/>
      <c r="L14" s="37"/>
      <c r="M14" s="37"/>
      <c r="N14" s="37"/>
      <c r="O14" s="37"/>
      <c r="P14" s="37"/>
      <c r="Q14" s="14"/>
      <c r="R14" s="4" t="s">
        <v>38</v>
      </c>
    </row>
    <row collapsed="false" customFormat="false" customHeight="true" hidden="false" ht="12" outlineLevel="0" r="15">
      <c r="B15" s="15"/>
      <c r="C15" s="39" t="s">
        <v>39</v>
      </c>
      <c r="D15" s="39"/>
      <c r="E15" s="39" t="s">
        <v>40</v>
      </c>
      <c r="F15" s="39"/>
      <c r="G15" s="39" t="s">
        <v>41</v>
      </c>
      <c r="H15" s="39"/>
      <c r="I15" s="17"/>
      <c r="J15" s="39" t="s">
        <v>39</v>
      </c>
      <c r="K15" s="39"/>
      <c r="L15" s="39" t="s">
        <v>40</v>
      </c>
      <c r="M15" s="39"/>
      <c r="N15" s="39" t="s">
        <v>41</v>
      </c>
      <c r="O15" s="39"/>
      <c r="P15" s="16"/>
      <c r="Q15" s="14"/>
    </row>
    <row collapsed="false" customFormat="false" customHeight="true" hidden="false" ht="12.75" outlineLevel="0" r="16">
      <c r="B16" s="29"/>
      <c r="C16" s="40"/>
      <c r="D16" s="40"/>
      <c r="E16" s="40"/>
      <c r="F16" s="40"/>
      <c r="G16" s="40"/>
      <c r="H16" s="40"/>
      <c r="I16" s="41"/>
      <c r="J16" s="40"/>
      <c r="K16" s="40"/>
      <c r="L16" s="40"/>
      <c r="M16" s="40"/>
      <c r="N16" s="40"/>
      <c r="O16" s="40"/>
      <c r="P16" s="30"/>
      <c r="Q16" s="32"/>
    </row>
    <row collapsed="false" customFormat="false" customHeight="false" hidden="false" ht="11.6" outlineLevel="0" r="17">
      <c r="B17" s="3"/>
      <c r="Q17" s="3"/>
    </row>
    <row collapsed="false" customFormat="false" customHeight="true" hidden="false" ht="12" outlineLevel="0" r="18">
      <c r="B18" s="10"/>
      <c r="C18" s="42"/>
      <c r="D18" s="42"/>
      <c r="E18" s="42"/>
      <c r="F18" s="42"/>
      <c r="G18" s="42"/>
      <c r="H18" s="6" t="s">
        <v>42</v>
      </c>
      <c r="I18" s="6"/>
      <c r="J18" s="6"/>
      <c r="K18" s="6"/>
      <c r="L18" s="42"/>
      <c r="M18" s="42"/>
      <c r="N18" s="42"/>
      <c r="O18" s="42"/>
      <c r="P18" s="42"/>
      <c r="Q18" s="43"/>
    </row>
    <row collapsed="false" customFormat="false" customHeight="false" hidden="false" ht="11.6" outlineLevel="0" r="19">
      <c r="B19" s="15"/>
      <c r="C19" s="3"/>
      <c r="D19" s="3"/>
      <c r="E19" s="3"/>
      <c r="F19" s="3"/>
      <c r="G19" s="3"/>
      <c r="H19" s="37"/>
      <c r="I19" s="37"/>
      <c r="J19" s="37"/>
      <c r="K19" s="37"/>
      <c r="L19" s="3"/>
      <c r="M19" s="3"/>
      <c r="N19" s="3"/>
      <c r="O19" s="3"/>
      <c r="P19" s="3"/>
      <c r="Q19" s="14"/>
    </row>
    <row collapsed="false" customFormat="false" customHeight="true" hidden="false" ht="12" outlineLevel="0" r="20">
      <c r="B20" s="15"/>
      <c r="C20" s="3"/>
      <c r="D20" s="3"/>
      <c r="E20" s="3"/>
      <c r="F20" s="3"/>
      <c r="G20" s="3"/>
      <c r="H20" s="37" t="s">
        <v>43</v>
      </c>
      <c r="I20" s="37"/>
      <c r="J20" s="37"/>
      <c r="K20" s="37"/>
      <c r="L20" s="3"/>
      <c r="M20" s="3"/>
      <c r="N20" s="3"/>
      <c r="O20" s="3"/>
      <c r="P20" s="3"/>
      <c r="Q20" s="14"/>
    </row>
    <row collapsed="false" customFormat="false" customHeight="false" hidden="false" ht="11.6" outlineLevel="0" r="21">
      <c r="B21" s="15"/>
      <c r="C21" s="3"/>
      <c r="D21" s="3"/>
      <c r="E21" s="3"/>
      <c r="F21" s="3"/>
      <c r="G21" s="3"/>
      <c r="H21" s="37"/>
      <c r="I21" s="37"/>
      <c r="J21" s="37"/>
      <c r="K21" s="37"/>
      <c r="L21" s="3"/>
      <c r="M21" s="3"/>
      <c r="N21" s="3"/>
      <c r="O21" s="3"/>
      <c r="P21" s="3"/>
      <c r="Q21" s="14"/>
    </row>
    <row collapsed="false" customFormat="false" customHeight="true" hidden="false" ht="12" outlineLevel="0" r="22">
      <c r="B22" s="15"/>
      <c r="C22" s="3"/>
      <c r="D22" s="3"/>
      <c r="E22" s="3"/>
      <c r="F22" s="3"/>
      <c r="G22" s="3"/>
      <c r="H22" s="37" t="s">
        <v>44</v>
      </c>
      <c r="I22" s="37"/>
      <c r="J22" s="37"/>
      <c r="K22" s="37"/>
      <c r="L22" s="3"/>
      <c r="M22" s="3"/>
      <c r="N22" s="3"/>
      <c r="O22" s="3"/>
      <c r="P22" s="3"/>
      <c r="Q22" s="14"/>
      <c r="R22" s="4" t="s">
        <v>45</v>
      </c>
    </row>
    <row collapsed="false" customFormat="false" customHeight="true" hidden="false" ht="12" outlineLevel="0" r="23">
      <c r="B23" s="15"/>
      <c r="C23" s="3"/>
      <c r="D23" s="3"/>
      <c r="E23" s="3"/>
      <c r="F23" s="3"/>
      <c r="G23" s="3"/>
      <c r="H23" s="37" t="s">
        <v>46</v>
      </c>
      <c r="I23" s="37"/>
      <c r="J23" s="37" t="s">
        <v>47</v>
      </c>
      <c r="K23" s="37"/>
      <c r="L23" s="3"/>
      <c r="M23" s="3"/>
      <c r="N23" s="3"/>
      <c r="O23" s="3"/>
      <c r="P23" s="3"/>
      <c r="Q23" s="14"/>
    </row>
    <row collapsed="false" customFormat="false" customHeight="false" hidden="false" ht="11.9" outlineLevel="0" r="24">
      <c r="B24" s="15"/>
      <c r="C24" s="3"/>
      <c r="D24" s="3"/>
      <c r="E24" s="3"/>
      <c r="F24" s="3"/>
      <c r="G24" s="3"/>
      <c r="H24" s="37" t="s">
        <v>48</v>
      </c>
      <c r="I24" s="39"/>
      <c r="J24" s="37" t="s">
        <v>49</v>
      </c>
      <c r="K24" s="39"/>
      <c r="L24" s="3"/>
      <c r="M24" s="3"/>
      <c r="N24" s="3"/>
      <c r="O24" s="3"/>
      <c r="P24" s="3"/>
      <c r="Q24" s="14"/>
    </row>
    <row collapsed="false" customFormat="false" customHeight="false" hidden="false" ht="11.9" outlineLevel="0" r="25">
      <c r="B25" s="15"/>
      <c r="C25" s="3"/>
      <c r="D25" s="3"/>
      <c r="E25" s="3"/>
      <c r="F25" s="3"/>
      <c r="G25" s="3"/>
      <c r="H25" s="37" t="s">
        <v>50</v>
      </c>
      <c r="I25" s="39"/>
      <c r="J25" s="37" t="s">
        <v>51</v>
      </c>
      <c r="K25" s="39"/>
      <c r="L25" s="3"/>
      <c r="M25" s="3"/>
      <c r="N25" s="3"/>
      <c r="O25" s="3"/>
      <c r="P25" s="3"/>
      <c r="Q25" s="14"/>
    </row>
    <row collapsed="false" customFormat="false" customHeight="false" hidden="false" ht="11.9" outlineLevel="0" r="26">
      <c r="B26" s="15"/>
      <c r="C26" s="3"/>
      <c r="D26" s="3"/>
      <c r="E26" s="3"/>
      <c r="F26" s="3"/>
      <c r="G26" s="3"/>
      <c r="H26" s="37" t="s">
        <v>49</v>
      </c>
      <c r="I26" s="39"/>
      <c r="J26" s="37"/>
      <c r="K26" s="39"/>
      <c r="L26" s="3"/>
      <c r="M26" s="3"/>
      <c r="N26" s="3"/>
      <c r="O26" s="3"/>
      <c r="P26" s="3"/>
      <c r="Q26" s="14"/>
    </row>
    <row collapsed="false" customFormat="false" customHeight="false" hidden="false" ht="11.9" outlineLevel="0" r="27">
      <c r="B27" s="15"/>
      <c r="C27" s="3"/>
      <c r="D27" s="3"/>
      <c r="E27" s="3"/>
      <c r="F27" s="3"/>
      <c r="G27" s="3"/>
      <c r="H27" s="37" t="s">
        <v>51</v>
      </c>
      <c r="I27" s="39"/>
      <c r="J27" s="37"/>
      <c r="K27" s="39"/>
      <c r="L27" s="3"/>
      <c r="M27" s="3"/>
      <c r="N27" s="3"/>
      <c r="O27" s="3"/>
      <c r="P27" s="3"/>
      <c r="Q27" s="14"/>
    </row>
    <row collapsed="false" customFormat="false" customHeight="false" hidden="false" ht="11.6" outlineLevel="0" r="28">
      <c r="B28" s="15"/>
      <c r="C28" s="3"/>
      <c r="D28" s="3"/>
      <c r="E28" s="3"/>
      <c r="F28" s="3"/>
      <c r="G28" s="3"/>
      <c r="H28" s="39"/>
      <c r="I28" s="39"/>
      <c r="J28" s="39"/>
      <c r="K28" s="39"/>
      <c r="L28" s="3"/>
      <c r="M28" s="3"/>
      <c r="N28" s="3"/>
      <c r="O28" s="3"/>
      <c r="P28" s="3"/>
      <c r="Q28" s="14"/>
    </row>
    <row collapsed="false" customFormat="false" customHeight="true" hidden="false" ht="12" outlineLevel="0" r="29">
      <c r="B29" s="15"/>
      <c r="C29" s="3"/>
      <c r="D29" s="3"/>
      <c r="E29" s="3"/>
      <c r="F29" s="3"/>
      <c r="G29" s="3"/>
      <c r="H29" s="37" t="s">
        <v>52</v>
      </c>
      <c r="I29" s="37"/>
      <c r="J29" s="37"/>
      <c r="K29" s="39"/>
      <c r="L29" s="3"/>
      <c r="M29" s="3"/>
      <c r="N29" s="3"/>
      <c r="O29" s="3"/>
      <c r="P29" s="3"/>
      <c r="Q29" s="14"/>
      <c r="R29" s="4" t="s">
        <v>53</v>
      </c>
    </row>
    <row collapsed="false" customFormat="false" customHeight="true" hidden="false" ht="12" outlineLevel="0" r="30">
      <c r="B30" s="15"/>
      <c r="C30" s="3"/>
      <c r="D30" s="3"/>
      <c r="E30" s="3"/>
      <c r="F30" s="3"/>
      <c r="G30" s="3"/>
      <c r="H30" s="37" t="s">
        <v>54</v>
      </c>
      <c r="I30" s="37"/>
      <c r="J30" s="37"/>
      <c r="K30" s="39"/>
      <c r="L30" s="3"/>
      <c r="M30" s="3"/>
      <c r="N30" s="3"/>
      <c r="O30" s="3"/>
      <c r="P30" s="3"/>
      <c r="Q30" s="14"/>
      <c r="R30" s="4" t="s">
        <v>55</v>
      </c>
    </row>
    <row collapsed="false" customFormat="false" customHeight="false" hidden="false" ht="11.6" outlineLevel="0" r="31">
      <c r="B31" s="15"/>
      <c r="C31" s="3"/>
      <c r="D31" s="3"/>
      <c r="E31" s="3"/>
      <c r="F31" s="3"/>
      <c r="G31" s="3"/>
      <c r="H31" s="39"/>
      <c r="I31" s="39"/>
      <c r="J31" s="39"/>
      <c r="K31" s="39"/>
      <c r="L31" s="3"/>
      <c r="M31" s="3"/>
      <c r="N31" s="3"/>
      <c r="O31" s="3"/>
      <c r="P31" s="3"/>
      <c r="Q31" s="14"/>
    </row>
    <row collapsed="false" customFormat="false" customHeight="true" hidden="false" ht="12" outlineLevel="0" r="32">
      <c r="B32" s="15"/>
      <c r="C32" s="3"/>
      <c r="D32" s="3"/>
      <c r="E32" s="3"/>
      <c r="F32" s="3"/>
      <c r="G32" s="3"/>
      <c r="H32" s="39" t="s">
        <v>56</v>
      </c>
      <c r="I32" s="39"/>
      <c r="J32" s="44"/>
      <c r="K32" s="44"/>
      <c r="L32" s="3"/>
      <c r="M32" s="3"/>
      <c r="N32" s="3"/>
      <c r="O32" s="3"/>
      <c r="P32" s="3"/>
      <c r="Q32" s="14"/>
      <c r="R32" s="4" t="s">
        <v>57</v>
      </c>
    </row>
    <row collapsed="false" customFormat="false" customHeight="false" hidden="false" ht="11.6" outlineLevel="0" r="33">
      <c r="B33" s="15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14"/>
    </row>
    <row collapsed="false" customFormat="false" customHeight="false" hidden="false" ht="11.6" outlineLevel="0" r="34">
      <c r="B34" s="15"/>
      <c r="C34" s="3"/>
      <c r="D34" s="3"/>
      <c r="E34" s="3"/>
      <c r="F34" s="3"/>
      <c r="G34" s="45"/>
      <c r="H34" s="45"/>
      <c r="I34" s="46" t="s">
        <v>58</v>
      </c>
      <c r="J34" s="46"/>
      <c r="K34" s="45"/>
      <c r="L34" s="45"/>
      <c r="M34" s="3"/>
      <c r="N34" s="3"/>
      <c r="O34" s="3"/>
      <c r="P34" s="3"/>
      <c r="Q34" s="14"/>
    </row>
    <row collapsed="false" customFormat="false" customHeight="false" hidden="false" ht="11.6" outlineLevel="0" r="35">
      <c r="B35" s="15"/>
      <c r="C35" s="3"/>
      <c r="D35" s="3"/>
      <c r="E35" s="3"/>
      <c r="F35" s="3"/>
      <c r="G35" s="3"/>
      <c r="H35" s="3"/>
      <c r="I35" s="16"/>
      <c r="J35" s="16"/>
      <c r="K35" s="3"/>
      <c r="L35" s="3"/>
      <c r="M35" s="3"/>
      <c r="N35" s="3"/>
      <c r="O35" s="3"/>
      <c r="P35" s="3"/>
      <c r="Q35" s="14"/>
    </row>
    <row collapsed="false" customFormat="false" customHeight="true" hidden="false" ht="11.6" outlineLevel="0" r="36">
      <c r="B36" s="15"/>
      <c r="C36" s="3"/>
      <c r="D36" s="3"/>
      <c r="E36" s="3"/>
      <c r="F36" s="3"/>
      <c r="G36" s="37" t="s">
        <v>59</v>
      </c>
      <c r="H36" s="37"/>
      <c r="I36" s="37" t="s">
        <v>60</v>
      </c>
      <c r="J36" s="37" t="s">
        <v>61</v>
      </c>
      <c r="K36" s="37" t="s">
        <v>62</v>
      </c>
      <c r="L36" s="37" t="s">
        <v>63</v>
      </c>
      <c r="M36" s="3"/>
      <c r="N36" s="3"/>
      <c r="O36" s="3"/>
      <c r="P36" s="3"/>
      <c r="Q36" s="14"/>
      <c r="R36" s="4" t="s">
        <v>64</v>
      </c>
    </row>
    <row collapsed="false" customFormat="false" customHeight="false" hidden="false" ht="11.6" outlineLevel="0" r="37">
      <c r="B37" s="15"/>
      <c r="C37" s="3"/>
      <c r="D37" s="3"/>
      <c r="E37" s="3"/>
      <c r="F37" s="3"/>
      <c r="G37" s="37"/>
      <c r="H37" s="37"/>
      <c r="I37" s="37"/>
      <c r="J37" s="37"/>
      <c r="K37" s="37"/>
      <c r="L37" s="37"/>
      <c r="M37" s="3"/>
      <c r="N37" s="3"/>
      <c r="O37" s="3"/>
      <c r="P37" s="3"/>
      <c r="Q37" s="14"/>
      <c r="R37" s="4" t="s">
        <v>65</v>
      </c>
    </row>
    <row collapsed="false" customFormat="false" customHeight="false" hidden="false" ht="11.6" outlineLevel="0" r="38">
      <c r="B38" s="15"/>
      <c r="C38" s="3"/>
      <c r="D38" s="3"/>
      <c r="E38" s="3"/>
      <c r="F38" s="3"/>
      <c r="G38" s="25"/>
      <c r="H38" s="25"/>
      <c r="I38" s="47"/>
      <c r="J38" s="47"/>
      <c r="K38" s="25"/>
      <c r="L38" s="25"/>
      <c r="M38" s="3"/>
      <c r="N38" s="3"/>
      <c r="O38" s="3"/>
      <c r="P38" s="3"/>
      <c r="Q38" s="14"/>
      <c r="R38" s="4" t="s">
        <v>66</v>
      </c>
    </row>
    <row collapsed="false" customFormat="false" customHeight="false" hidden="false" ht="11.6" outlineLevel="0" r="39">
      <c r="B39" s="15"/>
      <c r="C39" s="3"/>
      <c r="D39" s="3"/>
      <c r="E39" s="3"/>
      <c r="F39" s="3"/>
      <c r="G39" s="25"/>
      <c r="H39" s="25"/>
      <c r="I39" s="47"/>
      <c r="J39" s="47"/>
      <c r="K39" s="25"/>
      <c r="L39" s="25"/>
      <c r="M39" s="3"/>
      <c r="N39" s="3"/>
      <c r="O39" s="3"/>
      <c r="P39" s="3"/>
      <c r="Q39" s="14"/>
      <c r="R39" s="4" t="s">
        <v>67</v>
      </c>
    </row>
    <row collapsed="false" customFormat="false" customHeight="false" hidden="false" ht="11.6" outlineLevel="0" r="40">
      <c r="B40" s="15"/>
      <c r="C40" s="3"/>
      <c r="D40" s="3"/>
      <c r="E40" s="3"/>
      <c r="F40" s="3"/>
      <c r="G40" s="25"/>
      <c r="H40" s="25"/>
      <c r="I40" s="47"/>
      <c r="J40" s="47"/>
      <c r="K40" s="25"/>
      <c r="L40" s="25"/>
      <c r="M40" s="3"/>
      <c r="N40" s="3"/>
      <c r="O40" s="3"/>
      <c r="P40" s="3"/>
      <c r="Q40" s="14"/>
      <c r="R40" s="4" t="s">
        <v>68</v>
      </c>
    </row>
    <row collapsed="false" customFormat="false" customHeight="false" hidden="false" ht="11.6" outlineLevel="0" r="41">
      <c r="B41" s="15"/>
      <c r="C41" s="3"/>
      <c r="D41" s="3"/>
      <c r="E41" s="3"/>
      <c r="F41" s="3"/>
      <c r="G41" s="25"/>
      <c r="H41" s="25"/>
      <c r="I41" s="47"/>
      <c r="J41" s="47"/>
      <c r="K41" s="25"/>
      <c r="L41" s="25"/>
      <c r="M41" s="3"/>
      <c r="N41" s="3"/>
      <c r="O41" s="3"/>
      <c r="P41" s="3"/>
      <c r="Q41" s="14"/>
    </row>
    <row collapsed="false" customFormat="false" customHeight="false" hidden="false" ht="11.6" outlineLevel="0" r="42">
      <c r="B42" s="15"/>
      <c r="C42" s="3"/>
      <c r="D42" s="3"/>
      <c r="E42" s="3"/>
      <c r="F42" s="3"/>
      <c r="G42" s="25"/>
      <c r="H42" s="25"/>
      <c r="I42" s="47"/>
      <c r="J42" s="47"/>
      <c r="K42" s="25"/>
      <c r="L42" s="25"/>
      <c r="M42" s="3"/>
      <c r="N42" s="3"/>
      <c r="O42" s="3"/>
      <c r="P42" s="3"/>
      <c r="Q42" s="14"/>
    </row>
    <row collapsed="false" customFormat="false" customHeight="false" hidden="false" ht="11.6" outlineLevel="0" r="43">
      <c r="B43" s="15"/>
      <c r="C43" s="3"/>
      <c r="D43" s="3"/>
      <c r="E43" s="3"/>
      <c r="F43" s="3"/>
      <c r="G43" s="25"/>
      <c r="H43" s="25"/>
      <c r="I43" s="47"/>
      <c r="J43" s="47"/>
      <c r="K43" s="25"/>
      <c r="L43" s="25"/>
      <c r="M43" s="3"/>
      <c r="N43" s="3"/>
      <c r="O43" s="3"/>
      <c r="P43" s="3"/>
      <c r="Q43" s="14"/>
    </row>
    <row collapsed="false" customFormat="false" customHeight="false" hidden="false" ht="11.6" outlineLevel="0" r="44">
      <c r="B44" s="15"/>
      <c r="C44" s="3"/>
      <c r="D44" s="3"/>
      <c r="E44" s="3"/>
      <c r="F44" s="3"/>
      <c r="G44" s="25"/>
      <c r="H44" s="25"/>
      <c r="I44" s="47"/>
      <c r="J44" s="47"/>
      <c r="K44" s="25"/>
      <c r="L44" s="25"/>
      <c r="M44" s="3"/>
      <c r="N44" s="3"/>
      <c r="O44" s="3"/>
      <c r="P44" s="3"/>
      <c r="Q44" s="14"/>
    </row>
    <row collapsed="false" customFormat="false" customHeight="false" hidden="false" ht="11.6" outlineLevel="0" r="45">
      <c r="B45" s="15"/>
      <c r="C45" s="3"/>
      <c r="D45" s="3"/>
      <c r="E45" s="3"/>
      <c r="F45" s="3"/>
      <c r="G45" s="25"/>
      <c r="H45" s="25"/>
      <c r="I45" s="47"/>
      <c r="J45" s="47"/>
      <c r="K45" s="25"/>
      <c r="L45" s="25"/>
      <c r="M45" s="3"/>
      <c r="N45" s="3"/>
      <c r="O45" s="3"/>
      <c r="P45" s="3"/>
      <c r="Q45" s="14"/>
    </row>
    <row collapsed="false" customFormat="false" customHeight="false" hidden="false" ht="11.6" outlineLevel="0" r="46">
      <c r="B46" s="15"/>
      <c r="C46" s="3"/>
      <c r="D46" s="3"/>
      <c r="E46" s="3"/>
      <c r="F46" s="3"/>
      <c r="G46" s="25"/>
      <c r="H46" s="25"/>
      <c r="I46" s="47"/>
      <c r="J46" s="47"/>
      <c r="K46" s="25"/>
      <c r="L46" s="25"/>
      <c r="M46" s="3"/>
      <c r="N46" s="3"/>
      <c r="O46" s="3"/>
      <c r="P46" s="3"/>
      <c r="Q46" s="14"/>
    </row>
    <row collapsed="false" customFormat="false" customHeight="false" hidden="false" ht="11.6" outlineLevel="0" r="47">
      <c r="B47" s="15"/>
      <c r="C47" s="3"/>
      <c r="D47" s="3"/>
      <c r="E47" s="3"/>
      <c r="F47" s="3"/>
      <c r="G47" s="25"/>
      <c r="H47" s="25"/>
      <c r="I47" s="47"/>
      <c r="J47" s="47"/>
      <c r="K47" s="25"/>
      <c r="L47" s="25"/>
      <c r="M47" s="3"/>
      <c r="N47" s="3"/>
      <c r="O47" s="3"/>
      <c r="P47" s="3"/>
      <c r="Q47" s="14"/>
    </row>
    <row collapsed="false" customFormat="false" customHeight="false" hidden="false" ht="11.6" outlineLevel="0" r="48">
      <c r="B48" s="15"/>
      <c r="C48" s="45"/>
      <c r="D48" s="45"/>
      <c r="E48" s="46" t="s">
        <v>69</v>
      </c>
      <c r="F48" s="46"/>
      <c r="G48" s="45"/>
      <c r="H48" s="45"/>
      <c r="I48" s="3"/>
      <c r="J48" s="3"/>
      <c r="K48" s="45"/>
      <c r="L48" s="45"/>
      <c r="M48" s="46" t="s">
        <v>70</v>
      </c>
      <c r="N48" s="46"/>
      <c r="O48" s="45"/>
      <c r="P48" s="45"/>
      <c r="Q48" s="14"/>
    </row>
    <row collapsed="false" customFormat="false" customHeight="false" hidden="false" ht="11.6" outlineLevel="0" r="49">
      <c r="B49" s="15"/>
      <c r="C49" s="3"/>
      <c r="D49" s="3"/>
      <c r="E49" s="16"/>
      <c r="F49" s="16"/>
      <c r="G49" s="3"/>
      <c r="H49" s="3"/>
      <c r="I49" s="3"/>
      <c r="J49" s="3"/>
      <c r="K49" s="3"/>
      <c r="L49" s="3"/>
      <c r="M49" s="16"/>
      <c r="N49" s="16"/>
      <c r="O49" s="3"/>
      <c r="P49" s="3"/>
      <c r="Q49" s="14"/>
    </row>
    <row collapsed="false" customFormat="false" customHeight="true" hidden="false" ht="11.6" outlineLevel="0" r="50">
      <c r="B50" s="15"/>
      <c r="C50" s="37" t="s">
        <v>59</v>
      </c>
      <c r="D50" s="37"/>
      <c r="E50" s="37" t="s">
        <v>60</v>
      </c>
      <c r="F50" s="37" t="s">
        <v>61</v>
      </c>
      <c r="G50" s="37" t="s">
        <v>62</v>
      </c>
      <c r="H50" s="37" t="s">
        <v>63</v>
      </c>
      <c r="I50" s="48"/>
      <c r="J50" s="48"/>
      <c r="K50" s="37" t="s">
        <v>59</v>
      </c>
      <c r="L50" s="37"/>
      <c r="M50" s="37" t="s">
        <v>60</v>
      </c>
      <c r="N50" s="37" t="s">
        <v>61</v>
      </c>
      <c r="O50" s="37" t="s">
        <v>62</v>
      </c>
      <c r="P50" s="37" t="s">
        <v>63</v>
      </c>
      <c r="Q50" s="14"/>
    </row>
    <row collapsed="false" customFormat="false" customHeight="false" hidden="false" ht="11.6" outlineLevel="0" r="51">
      <c r="B51" s="15"/>
      <c r="C51" s="37"/>
      <c r="D51" s="37"/>
      <c r="E51" s="37"/>
      <c r="F51" s="37"/>
      <c r="G51" s="37"/>
      <c r="H51" s="37"/>
      <c r="I51" s="48"/>
      <c r="J51" s="48"/>
      <c r="K51" s="37"/>
      <c r="L51" s="37"/>
      <c r="M51" s="37"/>
      <c r="N51" s="37"/>
      <c r="O51" s="37"/>
      <c r="P51" s="37"/>
      <c r="Q51" s="14"/>
    </row>
    <row collapsed="false" customFormat="false" customHeight="false" hidden="false" ht="11.6" outlineLevel="0" r="52">
      <c r="B52" s="15"/>
      <c r="C52" s="25"/>
      <c r="D52" s="25"/>
      <c r="E52" s="47"/>
      <c r="F52" s="47"/>
      <c r="G52" s="25"/>
      <c r="H52" s="25"/>
      <c r="I52" s="3"/>
      <c r="J52" s="3"/>
      <c r="K52" s="25"/>
      <c r="L52" s="25"/>
      <c r="M52" s="47"/>
      <c r="N52" s="47"/>
      <c r="O52" s="25"/>
      <c r="P52" s="25"/>
      <c r="Q52" s="14"/>
    </row>
    <row collapsed="false" customFormat="false" customHeight="false" hidden="false" ht="11.6" outlineLevel="0" r="53">
      <c r="B53" s="15"/>
      <c r="C53" s="25"/>
      <c r="D53" s="25"/>
      <c r="E53" s="47"/>
      <c r="F53" s="47"/>
      <c r="G53" s="25"/>
      <c r="H53" s="25"/>
      <c r="I53" s="3"/>
      <c r="J53" s="3"/>
      <c r="K53" s="25"/>
      <c r="L53" s="25"/>
      <c r="M53" s="47"/>
      <c r="N53" s="47"/>
      <c r="O53" s="25"/>
      <c r="P53" s="25"/>
      <c r="Q53" s="14"/>
    </row>
    <row collapsed="false" customFormat="false" customHeight="false" hidden="false" ht="11.6" outlineLevel="0" r="54">
      <c r="B54" s="15"/>
      <c r="C54" s="25"/>
      <c r="D54" s="25"/>
      <c r="E54" s="47"/>
      <c r="F54" s="47"/>
      <c r="G54" s="25"/>
      <c r="H54" s="25"/>
      <c r="I54" s="3"/>
      <c r="J54" s="3"/>
      <c r="K54" s="25"/>
      <c r="L54" s="25"/>
      <c r="M54" s="47"/>
      <c r="N54" s="47"/>
      <c r="O54" s="25"/>
      <c r="P54" s="25"/>
      <c r="Q54" s="14"/>
    </row>
    <row collapsed="false" customFormat="false" customHeight="false" hidden="false" ht="11.6" outlineLevel="0" r="55">
      <c r="B55" s="15"/>
      <c r="C55" s="25"/>
      <c r="D55" s="25"/>
      <c r="E55" s="47"/>
      <c r="F55" s="47"/>
      <c r="G55" s="25"/>
      <c r="H55" s="25"/>
      <c r="I55" s="3"/>
      <c r="J55" s="3"/>
      <c r="K55" s="25"/>
      <c r="L55" s="25"/>
      <c r="M55" s="47"/>
      <c r="N55" s="47"/>
      <c r="O55" s="25"/>
      <c r="P55" s="25"/>
      <c r="Q55" s="14"/>
    </row>
    <row collapsed="false" customFormat="false" customHeight="false" hidden="false" ht="11.6" outlineLevel="0" r="56">
      <c r="B56" s="15"/>
      <c r="C56" s="49"/>
      <c r="D56" s="49"/>
      <c r="E56" s="50"/>
      <c r="F56" s="50"/>
      <c r="G56" s="49"/>
      <c r="H56" s="49"/>
      <c r="I56" s="3"/>
      <c r="J56" s="3"/>
      <c r="K56" s="49"/>
      <c r="L56" s="49"/>
      <c r="M56" s="50"/>
      <c r="N56" s="50"/>
      <c r="O56" s="49"/>
      <c r="P56" s="49"/>
      <c r="Q56" s="14"/>
    </row>
    <row collapsed="false" customFormat="false" customHeight="false" hidden="false" ht="11.6" outlineLevel="0" r="57">
      <c r="B57" s="15"/>
      <c r="C57" s="25"/>
      <c r="D57" s="25"/>
      <c r="E57" s="47"/>
      <c r="F57" s="47"/>
      <c r="G57" s="25"/>
      <c r="H57" s="25"/>
      <c r="I57" s="3"/>
      <c r="J57" s="3"/>
      <c r="K57" s="25"/>
      <c r="L57" s="25"/>
      <c r="M57" s="47"/>
      <c r="N57" s="47"/>
      <c r="O57" s="25"/>
      <c r="P57" s="25"/>
      <c r="Q57" s="14"/>
    </row>
    <row collapsed="false" customFormat="false" customHeight="false" hidden="false" ht="11.6" outlineLevel="0" r="58">
      <c r="B58" s="15"/>
      <c r="C58" s="25"/>
      <c r="D58" s="25"/>
      <c r="E58" s="47"/>
      <c r="F58" s="47"/>
      <c r="G58" s="25"/>
      <c r="H58" s="25"/>
      <c r="I58" s="3"/>
      <c r="J58" s="3"/>
      <c r="K58" s="25"/>
      <c r="L58" s="25"/>
      <c r="M58" s="47"/>
      <c r="N58" s="47"/>
      <c r="O58" s="25"/>
      <c r="P58" s="25"/>
      <c r="Q58" s="14"/>
    </row>
    <row collapsed="false" customFormat="false" customHeight="false" hidden="false" ht="11.6" outlineLevel="0" r="59">
      <c r="B59" s="15"/>
      <c r="C59" s="25"/>
      <c r="D59" s="25"/>
      <c r="E59" s="47"/>
      <c r="F59" s="47"/>
      <c r="G59" s="25"/>
      <c r="H59" s="25"/>
      <c r="I59" s="3"/>
      <c r="J59" s="3"/>
      <c r="K59" s="25"/>
      <c r="L59" s="25"/>
      <c r="M59" s="47"/>
      <c r="N59" s="47"/>
      <c r="O59" s="25"/>
      <c r="P59" s="25"/>
      <c r="Q59" s="14"/>
    </row>
    <row collapsed="false" customFormat="false" customHeight="false" hidden="false" ht="11.6" outlineLevel="0" r="60">
      <c r="B60" s="15"/>
      <c r="C60" s="25"/>
      <c r="D60" s="25"/>
      <c r="E60" s="47"/>
      <c r="F60" s="47"/>
      <c r="G60" s="25"/>
      <c r="H60" s="25"/>
      <c r="I60" s="3"/>
      <c r="J60" s="3"/>
      <c r="K60" s="25"/>
      <c r="L60" s="25"/>
      <c r="M60" s="47"/>
      <c r="N60" s="47"/>
      <c r="O60" s="25"/>
      <c r="P60" s="25"/>
      <c r="Q60" s="14"/>
    </row>
    <row collapsed="false" customFormat="false" customHeight="false" hidden="false" ht="11.6" outlineLevel="0" r="61">
      <c r="B61" s="15"/>
      <c r="C61" s="51"/>
      <c r="D61" s="51"/>
      <c r="E61" s="52"/>
      <c r="F61" s="52"/>
      <c r="G61" s="51"/>
      <c r="H61" s="51"/>
      <c r="I61" s="3"/>
      <c r="J61" s="3"/>
      <c r="K61" s="51"/>
      <c r="L61" s="51"/>
      <c r="M61" s="52"/>
      <c r="N61" s="52"/>
      <c r="O61" s="51"/>
      <c r="P61" s="51"/>
      <c r="Q61" s="14"/>
    </row>
    <row collapsed="false" customFormat="false" customHeight="false" hidden="false" ht="11.6" outlineLevel="0" r="62">
      <c r="B62" s="15"/>
      <c r="C62" s="25"/>
      <c r="D62" s="25"/>
      <c r="E62" s="25"/>
      <c r="F62" s="25"/>
      <c r="G62" s="25"/>
      <c r="H62" s="25"/>
      <c r="I62" s="3"/>
      <c r="J62" s="3"/>
      <c r="K62" s="25"/>
      <c r="L62" s="25"/>
      <c r="M62" s="25"/>
      <c r="N62" s="25"/>
      <c r="O62" s="25"/>
      <c r="P62" s="25"/>
      <c r="Q62" s="14"/>
    </row>
    <row collapsed="false" customFormat="false" customHeight="true" hidden="false" ht="12" outlineLevel="0" r="63">
      <c r="B63" s="15"/>
      <c r="C63" s="25"/>
      <c r="D63" s="25"/>
      <c r="E63" s="25"/>
      <c r="F63" s="25"/>
      <c r="G63" s="25"/>
      <c r="H63" s="37" t="s">
        <v>71</v>
      </c>
      <c r="I63" s="37"/>
      <c r="J63" s="37"/>
      <c r="K63" s="37"/>
      <c r="L63" s="25"/>
      <c r="M63" s="25"/>
      <c r="N63" s="25"/>
      <c r="O63" s="25"/>
      <c r="P63" s="25"/>
      <c r="Q63" s="14"/>
    </row>
    <row collapsed="false" customFormat="false" customHeight="false" hidden="false" ht="11.6" outlineLevel="0" r="64">
      <c r="B64" s="15"/>
      <c r="C64" s="25"/>
      <c r="D64" s="25"/>
      <c r="E64" s="25"/>
      <c r="F64" s="25"/>
      <c r="G64" s="25"/>
      <c r="H64" s="37"/>
      <c r="I64" s="37"/>
      <c r="J64" s="37"/>
      <c r="K64" s="37"/>
      <c r="L64" s="25"/>
      <c r="M64" s="25"/>
      <c r="N64" s="25"/>
      <c r="O64" s="25"/>
      <c r="P64" s="25"/>
      <c r="Q64" s="14"/>
    </row>
    <row collapsed="false" customFormat="false" customHeight="true" hidden="false" ht="12" outlineLevel="0" r="65">
      <c r="B65" s="15"/>
      <c r="C65" s="25"/>
      <c r="D65" s="25"/>
      <c r="E65" s="25"/>
      <c r="F65" s="25"/>
      <c r="G65" s="25"/>
      <c r="H65" s="37" t="s">
        <v>44</v>
      </c>
      <c r="I65" s="37"/>
      <c r="J65" s="37"/>
      <c r="K65" s="37"/>
      <c r="L65" s="25"/>
      <c r="M65" s="25"/>
      <c r="N65" s="25"/>
      <c r="O65" s="25"/>
      <c r="P65" s="25"/>
      <c r="Q65" s="14"/>
    </row>
    <row collapsed="false" customFormat="false" customHeight="false" hidden="false" ht="11.9" outlineLevel="0" r="66">
      <c r="B66" s="15"/>
      <c r="C66" s="25"/>
      <c r="D66" s="25"/>
      <c r="E66" s="25"/>
      <c r="F66" s="25"/>
      <c r="G66" s="25"/>
      <c r="H66" s="39"/>
      <c r="I66" s="37" t="s">
        <v>72</v>
      </c>
      <c r="J66" s="39"/>
      <c r="K66" s="39"/>
      <c r="L66" s="25"/>
      <c r="M66" s="25"/>
      <c r="N66" s="25"/>
      <c r="O66" s="25"/>
      <c r="P66" s="25"/>
      <c r="Q66" s="14"/>
      <c r="R66" s="4" t="s">
        <v>73</v>
      </c>
    </row>
    <row collapsed="false" customFormat="false" customHeight="false" hidden="false" ht="11.6" outlineLevel="0" r="67">
      <c r="B67" s="15"/>
      <c r="C67" s="25"/>
      <c r="D67" s="25"/>
      <c r="E67" s="25"/>
      <c r="F67" s="25"/>
      <c r="G67" s="25"/>
      <c r="H67" s="39"/>
      <c r="I67" s="39"/>
      <c r="J67" s="39"/>
      <c r="K67" s="39"/>
      <c r="L67" s="25"/>
      <c r="M67" s="25"/>
      <c r="N67" s="25"/>
      <c r="O67" s="25"/>
      <c r="P67" s="25"/>
      <c r="Q67" s="14"/>
    </row>
    <row collapsed="false" customFormat="false" customHeight="true" hidden="false" ht="12" outlineLevel="0" r="68">
      <c r="B68" s="15"/>
      <c r="C68" s="25"/>
      <c r="D68" s="25"/>
      <c r="E68" s="25"/>
      <c r="F68" s="25"/>
      <c r="G68" s="25"/>
      <c r="H68" s="37" t="s">
        <v>74</v>
      </c>
      <c r="I68" s="37"/>
      <c r="J68" s="37"/>
      <c r="K68" s="39"/>
      <c r="L68" s="25"/>
      <c r="M68" s="25"/>
      <c r="N68" s="25"/>
      <c r="O68" s="25"/>
      <c r="P68" s="25"/>
      <c r="Q68" s="14"/>
    </row>
    <row collapsed="false" customFormat="false" customHeight="false" hidden="false" ht="11.6" outlineLevel="0" r="69">
      <c r="B69" s="15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14"/>
    </row>
    <row collapsed="false" customFormat="false" customHeight="false" hidden="false" ht="11.6" outlineLevel="0" r="70">
      <c r="B70" s="15"/>
      <c r="C70" s="3"/>
      <c r="D70" s="3"/>
      <c r="E70" s="3"/>
      <c r="F70" s="3"/>
      <c r="G70" s="45"/>
      <c r="H70" s="45"/>
      <c r="I70" s="46" t="s">
        <v>75</v>
      </c>
      <c r="J70" s="46"/>
      <c r="K70" s="45"/>
      <c r="L70" s="45"/>
      <c r="M70" s="3"/>
      <c r="N70" s="3"/>
      <c r="O70" s="3"/>
      <c r="P70" s="3"/>
      <c r="Q70" s="14"/>
    </row>
    <row collapsed="false" customFormat="false" customHeight="false" hidden="false" ht="11.6" outlineLevel="0" r="71">
      <c r="B71" s="15"/>
      <c r="C71" s="3"/>
      <c r="D71" s="3"/>
      <c r="E71" s="3"/>
      <c r="F71" s="3"/>
      <c r="G71" s="3"/>
      <c r="H71" s="3"/>
      <c r="I71" s="16"/>
      <c r="J71" s="16"/>
      <c r="K71" s="3"/>
      <c r="L71" s="3"/>
      <c r="M71" s="3"/>
      <c r="N71" s="3"/>
      <c r="O71" s="3"/>
      <c r="P71" s="3"/>
      <c r="Q71" s="14"/>
    </row>
    <row collapsed="false" customFormat="false" customHeight="true" hidden="false" ht="11.6" outlineLevel="0" r="72">
      <c r="B72" s="15"/>
      <c r="C72" s="3"/>
      <c r="D72" s="3"/>
      <c r="E72" s="3"/>
      <c r="F72" s="3"/>
      <c r="G72" s="37" t="s">
        <v>59</v>
      </c>
      <c r="H72" s="37"/>
      <c r="I72" s="37" t="s">
        <v>60</v>
      </c>
      <c r="J72" s="37" t="s">
        <v>61</v>
      </c>
      <c r="K72" s="37" t="s">
        <v>62</v>
      </c>
      <c r="L72" s="37" t="s">
        <v>76</v>
      </c>
      <c r="M72" s="3"/>
      <c r="N72" s="3"/>
      <c r="O72" s="3"/>
      <c r="P72" s="3"/>
      <c r="Q72" s="14"/>
    </row>
    <row collapsed="false" customFormat="false" customHeight="false" hidden="false" ht="11.6" outlineLevel="0" r="73">
      <c r="B73" s="15"/>
      <c r="C73" s="3"/>
      <c r="D73" s="3"/>
      <c r="E73" s="3"/>
      <c r="F73" s="3"/>
      <c r="G73" s="37"/>
      <c r="H73" s="37"/>
      <c r="I73" s="37"/>
      <c r="J73" s="37"/>
      <c r="K73" s="37"/>
      <c r="L73" s="37"/>
      <c r="M73" s="3"/>
      <c r="N73" s="3"/>
      <c r="O73" s="3"/>
      <c r="P73" s="3"/>
      <c r="Q73" s="14"/>
    </row>
    <row collapsed="false" customFormat="false" customHeight="false" hidden="false" ht="11.6" outlineLevel="0" r="74">
      <c r="B74" s="15"/>
      <c r="C74" s="3"/>
      <c r="D74" s="3"/>
      <c r="E74" s="3"/>
      <c r="F74" s="3"/>
      <c r="G74" s="52"/>
      <c r="H74" s="52"/>
      <c r="I74" s="52"/>
      <c r="J74" s="52"/>
      <c r="K74" s="51"/>
      <c r="L74" s="51"/>
      <c r="M74" s="3"/>
      <c r="N74" s="3"/>
      <c r="O74" s="3"/>
      <c r="P74" s="3"/>
      <c r="Q74" s="14"/>
    </row>
    <row collapsed="false" customFormat="false" customHeight="false" hidden="false" ht="11.6" outlineLevel="0" r="75">
      <c r="B75" s="29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2"/>
    </row>
    <row collapsed="false" customFormat="false" customHeight="false" hidden="false" ht="11.6" outlineLevel="0" r="76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</row>
    <row collapsed="false" customFormat="false" customHeight="true" hidden="false" ht="12.6" outlineLevel="0" r="77">
      <c r="B77" s="10"/>
      <c r="C77" s="42"/>
      <c r="D77" s="42"/>
      <c r="E77" s="42"/>
      <c r="F77" s="42"/>
      <c r="G77" s="53" t="s">
        <v>77</v>
      </c>
      <c r="H77" s="53"/>
      <c r="I77" s="53"/>
      <c r="J77" s="53"/>
      <c r="K77" s="53"/>
      <c r="L77" s="53"/>
      <c r="M77" s="42"/>
      <c r="N77" s="42"/>
      <c r="O77" s="42"/>
      <c r="P77" s="42"/>
      <c r="Q77" s="43"/>
      <c r="R77" s="4" t="s">
        <v>78</v>
      </c>
    </row>
    <row collapsed="false" customFormat="false" customHeight="true" hidden="false" ht="12.6" outlineLevel="0" r="78">
      <c r="B78" s="15"/>
      <c r="C78" s="3"/>
      <c r="D78" s="3"/>
      <c r="E78" s="3"/>
      <c r="F78" s="3"/>
      <c r="G78" s="54"/>
      <c r="H78" s="27"/>
      <c r="I78" s="27"/>
      <c r="J78" s="27"/>
      <c r="K78" s="27"/>
      <c r="L78" s="27"/>
      <c r="M78" s="3"/>
      <c r="N78" s="3"/>
      <c r="O78" s="3"/>
      <c r="P78" s="3"/>
      <c r="Q78" s="14"/>
    </row>
    <row collapsed="false" customFormat="false" customHeight="true" hidden="false" ht="12.6" outlineLevel="0" r="79">
      <c r="B79" s="15"/>
      <c r="C79" s="27"/>
      <c r="D79" s="54" t="s">
        <v>79</v>
      </c>
      <c r="E79" s="54"/>
      <c r="F79" s="54"/>
      <c r="G79" s="54" t="s">
        <v>80</v>
      </c>
      <c r="H79" s="54"/>
      <c r="I79" s="54"/>
      <c r="J79" s="54" t="s">
        <v>81</v>
      </c>
      <c r="K79" s="54"/>
      <c r="L79" s="54" t="s">
        <v>82</v>
      </c>
      <c r="M79" s="54"/>
      <c r="N79" s="54" t="s">
        <v>83</v>
      </c>
      <c r="O79" s="54"/>
      <c r="P79" s="38" t="s">
        <v>84</v>
      </c>
      <c r="Q79" s="38"/>
    </row>
    <row collapsed="false" customFormat="false" customHeight="true" hidden="false" ht="12.6" outlineLevel="0" r="80">
      <c r="B80" s="15"/>
      <c r="C80" s="27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38"/>
      <c r="Q80" s="38"/>
    </row>
    <row collapsed="false" customFormat="false" customHeight="true" hidden="false" ht="12.6" outlineLevel="0" r="81">
      <c r="B81" s="55" t="s">
        <v>85</v>
      </c>
      <c r="C81" s="55"/>
      <c r="D81" s="52"/>
      <c r="E81" s="52"/>
      <c r="F81" s="52"/>
      <c r="G81" s="52"/>
      <c r="H81" s="52"/>
      <c r="I81" s="52"/>
      <c r="J81" s="56"/>
      <c r="K81" s="56"/>
      <c r="L81" s="56"/>
      <c r="M81" s="56"/>
      <c r="N81" s="56"/>
      <c r="O81" s="56"/>
      <c r="P81" s="57"/>
      <c r="Q81" s="57"/>
      <c r="R81" s="58" t="s">
        <v>86</v>
      </c>
      <c r="S81" s="59"/>
    </row>
    <row collapsed="false" customFormat="false" customHeight="true" hidden="false" ht="12.6" outlineLevel="0" r="82">
      <c r="B82" s="55"/>
      <c r="C82" s="55"/>
      <c r="D82" s="52"/>
      <c r="E82" s="52"/>
      <c r="F82" s="52"/>
      <c r="G82" s="52"/>
      <c r="H82" s="52"/>
      <c r="I82" s="52"/>
      <c r="J82" s="56"/>
      <c r="K82" s="56"/>
      <c r="L82" s="56"/>
      <c r="M82" s="56"/>
      <c r="N82" s="56"/>
      <c r="O82" s="56"/>
      <c r="P82" s="57"/>
      <c r="Q82" s="57"/>
      <c r="R82" s="58" t="s">
        <v>87</v>
      </c>
      <c r="S82" s="59"/>
    </row>
    <row collapsed="false" customFormat="false" customHeight="true" hidden="false" ht="12.6" outlineLevel="0" r="83">
      <c r="B83" s="60" t="s">
        <v>88</v>
      </c>
      <c r="C83" s="60"/>
      <c r="D83" s="50"/>
      <c r="E83" s="50"/>
      <c r="F83" s="50"/>
      <c r="G83" s="50"/>
      <c r="H83" s="50"/>
      <c r="I83" s="50"/>
      <c r="J83" s="40"/>
      <c r="K83" s="40"/>
      <c r="L83" s="40"/>
      <c r="M83" s="40"/>
      <c r="N83" s="40"/>
      <c r="O83" s="40"/>
      <c r="P83" s="61"/>
      <c r="Q83" s="61"/>
      <c r="R83" s="59"/>
      <c r="S83" s="59"/>
    </row>
    <row collapsed="false" customFormat="false" customHeight="true" hidden="false" ht="12.6" outlineLevel="0" r="84">
      <c r="B84" s="60"/>
      <c r="C84" s="60"/>
      <c r="D84" s="50"/>
      <c r="E84" s="50"/>
      <c r="F84" s="50"/>
      <c r="G84" s="50"/>
      <c r="H84" s="50"/>
      <c r="I84" s="50"/>
      <c r="J84" s="40"/>
      <c r="K84" s="40"/>
      <c r="L84" s="40"/>
      <c r="M84" s="40"/>
      <c r="N84" s="40"/>
      <c r="O84" s="40"/>
      <c r="P84" s="61"/>
      <c r="Q84" s="61"/>
      <c r="R84" s="59"/>
      <c r="S84" s="59"/>
    </row>
    <row collapsed="false" customFormat="false" customHeight="true" hidden="false" ht="12.6" outlineLevel="0" r="86">
      <c r="B86" s="10"/>
      <c r="C86" s="42"/>
      <c r="D86" s="42"/>
      <c r="E86" s="42"/>
      <c r="F86" s="42"/>
      <c r="G86" s="6" t="s">
        <v>89</v>
      </c>
      <c r="H86" s="6"/>
      <c r="I86" s="6"/>
      <c r="J86" s="6"/>
      <c r="K86" s="6"/>
      <c r="L86" s="6"/>
      <c r="M86" s="42"/>
      <c r="N86" s="42"/>
      <c r="O86" s="42"/>
      <c r="P86" s="42"/>
      <c r="Q86" s="43"/>
    </row>
    <row collapsed="false" customFormat="false" customHeight="true" hidden="false" ht="12.6" outlineLevel="0" r="87">
      <c r="B87" s="15"/>
      <c r="C87" s="3"/>
      <c r="D87" s="3"/>
      <c r="E87" s="3"/>
      <c r="F87" s="3"/>
      <c r="G87" s="37"/>
      <c r="H87" s="37"/>
      <c r="I87" s="37"/>
      <c r="J87" s="37"/>
      <c r="K87" s="27"/>
      <c r="L87" s="27"/>
      <c r="M87" s="3"/>
      <c r="N87" s="3"/>
      <c r="O87" s="3"/>
      <c r="P87" s="3"/>
      <c r="Q87" s="14"/>
      <c r="R87" s="4" t="s">
        <v>90</v>
      </c>
      <c r="S87" s="4"/>
    </row>
    <row collapsed="false" customFormat="false" customHeight="true" hidden="false" ht="12.6" outlineLevel="0" r="88">
      <c r="B88" s="62" t="s">
        <v>91</v>
      </c>
      <c r="C88" s="62"/>
      <c r="D88" s="62"/>
      <c r="E88" s="63"/>
      <c r="F88" s="37" t="s">
        <v>92</v>
      </c>
      <c r="G88" s="37"/>
      <c r="H88" s="37"/>
      <c r="I88" s="64"/>
      <c r="J88" s="37" t="s">
        <v>93</v>
      </c>
      <c r="K88" s="37"/>
      <c r="L88" s="37"/>
      <c r="M88" s="37"/>
      <c r="N88" s="37"/>
      <c r="O88" s="37"/>
      <c r="P88" s="37"/>
      <c r="Q88" s="65" t="n">
        <v>-11</v>
      </c>
      <c r="R88" s="4"/>
      <c r="S88" s="4" t="s">
        <v>94</v>
      </c>
    </row>
    <row collapsed="false" customFormat="false" customHeight="true" hidden="false" ht="12.6" outlineLevel="0" r="89">
      <c r="B89" s="62"/>
      <c r="C89" s="62"/>
      <c r="D89" s="62"/>
      <c r="E89" s="63"/>
      <c r="F89" s="37"/>
      <c r="G89" s="37"/>
      <c r="H89" s="37"/>
      <c r="I89" s="64"/>
      <c r="J89" s="37"/>
      <c r="K89" s="37"/>
      <c r="L89" s="37"/>
      <c r="M89" s="37"/>
      <c r="N89" s="37"/>
      <c r="O89" s="37"/>
      <c r="P89" s="37"/>
      <c r="Q89" s="65"/>
      <c r="R89" s="4"/>
      <c r="S89" s="4" t="s">
        <v>95</v>
      </c>
    </row>
    <row collapsed="false" customFormat="false" customHeight="true" hidden="false" ht="12.6" outlineLevel="0" r="90">
      <c r="B90" s="15"/>
      <c r="C90" s="3"/>
      <c r="D90" s="3"/>
      <c r="E90" s="3"/>
      <c r="F90" s="3"/>
      <c r="G90" s="37"/>
      <c r="H90" s="37"/>
      <c r="I90" s="37"/>
      <c r="J90" s="37"/>
      <c r="K90" s="3"/>
      <c r="L90" s="3"/>
      <c r="M90" s="3"/>
      <c r="N90" s="3"/>
      <c r="O90" s="3"/>
      <c r="P90" s="3"/>
      <c r="Q90" s="14"/>
    </row>
    <row collapsed="false" customFormat="false" customHeight="true" hidden="false" ht="12.6" outlineLevel="0" r="91">
      <c r="B91" s="62" t="s">
        <v>96</v>
      </c>
      <c r="C91" s="62"/>
      <c r="D91" s="37" t="s">
        <v>97</v>
      </c>
      <c r="E91" s="37"/>
      <c r="F91" s="37" t="s">
        <v>98</v>
      </c>
      <c r="G91" s="37"/>
      <c r="H91" s="37" t="s">
        <v>99</v>
      </c>
      <c r="I91" s="37"/>
      <c r="J91" s="37" t="s">
        <v>100</v>
      </c>
      <c r="K91" s="37"/>
      <c r="L91" s="37" t="s">
        <v>101</v>
      </c>
      <c r="M91" s="37"/>
      <c r="N91" s="37" t="s">
        <v>102</v>
      </c>
      <c r="O91" s="37"/>
      <c r="P91" s="38" t="s">
        <v>103</v>
      </c>
      <c r="Q91" s="38"/>
    </row>
    <row collapsed="false" customFormat="false" customHeight="true" hidden="false" ht="12.6" outlineLevel="0" r="92">
      <c r="B92" s="62"/>
      <c r="C92" s="62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8"/>
      <c r="Q92" s="38"/>
    </row>
    <row collapsed="false" customFormat="false" customHeight="true" hidden="false" ht="12.6" outlineLevel="0" r="93">
      <c r="B93" s="62" t="s">
        <v>104</v>
      </c>
      <c r="C93" s="62"/>
      <c r="D93" s="37" t="s">
        <v>104</v>
      </c>
      <c r="E93" s="37"/>
      <c r="F93" s="37" t="s">
        <v>105</v>
      </c>
      <c r="G93" s="37"/>
      <c r="H93" s="37" t="str">
        <f aca="false">IF($E3 = "802.15.4", "(kbps)", "(mbps)")</f>
        <v>(mbps)</v>
      </c>
      <c r="I93" s="37"/>
      <c r="J93" s="37" t="s">
        <v>105</v>
      </c>
      <c r="K93" s="37"/>
      <c r="L93" s="37" t="str">
        <f aca="false">IF($E3 = "802.15.4", "(kbps)", "(mbps)")</f>
        <v>(mbps)</v>
      </c>
      <c r="M93" s="37"/>
      <c r="N93" s="37" t="str">
        <f aca="false">IF($E3 = "802.15.4", "(kbps)", "(mbps)")</f>
        <v>(mbps)</v>
      </c>
      <c r="O93" s="37"/>
      <c r="P93" s="38" t="str">
        <f aca="false">IF($E3 = "802.15.4", "(kbps)", "(mbps)")</f>
        <v>(mbps)</v>
      </c>
      <c r="Q93" s="38"/>
    </row>
    <row collapsed="false" customFormat="false" customHeight="true" hidden="false" ht="12.6" outlineLevel="0" r="94">
      <c r="B94" s="66"/>
      <c r="C94" s="66"/>
      <c r="D94" s="64"/>
      <c r="E94" s="64"/>
      <c r="F94" s="64"/>
      <c r="G94" s="64"/>
      <c r="H94" s="64"/>
      <c r="I94" s="64"/>
      <c r="J94" s="67"/>
      <c r="K94" s="67"/>
      <c r="L94" s="67"/>
      <c r="M94" s="67"/>
      <c r="N94" s="67"/>
      <c r="O94" s="67"/>
      <c r="P94" s="68"/>
      <c r="Q94" s="68"/>
    </row>
    <row collapsed="false" customFormat="false" customHeight="true" hidden="false" ht="12.6" outlineLevel="0" r="95">
      <c r="B95" s="66"/>
      <c r="C95" s="66"/>
      <c r="D95" s="64"/>
      <c r="E95" s="64"/>
      <c r="F95" s="64"/>
      <c r="G95" s="64"/>
      <c r="H95" s="64"/>
      <c r="I95" s="64"/>
      <c r="J95" s="67"/>
      <c r="K95" s="67"/>
      <c r="L95" s="67"/>
      <c r="M95" s="67"/>
      <c r="N95" s="67"/>
      <c r="O95" s="67"/>
      <c r="P95" s="68"/>
      <c r="Q95" s="68"/>
    </row>
    <row collapsed="false" customFormat="false" customHeight="true" hidden="false" ht="12.6" outlineLevel="0" r="96">
      <c r="B96" s="66"/>
      <c r="C96" s="66"/>
      <c r="D96" s="64"/>
      <c r="E96" s="64"/>
      <c r="F96" s="64"/>
      <c r="G96" s="64"/>
      <c r="H96" s="64"/>
      <c r="I96" s="64"/>
      <c r="J96" s="67"/>
      <c r="K96" s="67"/>
      <c r="L96" s="67"/>
      <c r="M96" s="67"/>
      <c r="N96" s="67"/>
      <c r="O96" s="67"/>
      <c r="P96" s="68"/>
      <c r="Q96" s="68"/>
    </row>
    <row collapsed="false" customFormat="false" customHeight="true" hidden="false" ht="12.6" outlineLevel="0" r="97">
      <c r="B97" s="66"/>
      <c r="C97" s="66"/>
      <c r="D97" s="64"/>
      <c r="E97" s="64"/>
      <c r="F97" s="64"/>
      <c r="G97" s="64"/>
      <c r="H97" s="64"/>
      <c r="I97" s="64"/>
      <c r="J97" s="67"/>
      <c r="K97" s="67"/>
      <c r="L97" s="67"/>
      <c r="M97" s="67"/>
      <c r="N97" s="67"/>
      <c r="O97" s="67"/>
      <c r="P97" s="68"/>
      <c r="Q97" s="68"/>
    </row>
    <row collapsed="false" customFormat="false" customHeight="true" hidden="false" ht="12.6" outlineLevel="0" r="98">
      <c r="B98" s="66"/>
      <c r="C98" s="66"/>
      <c r="D98" s="64"/>
      <c r="E98" s="64"/>
      <c r="F98" s="64"/>
      <c r="G98" s="64"/>
      <c r="H98" s="64"/>
      <c r="I98" s="64"/>
      <c r="J98" s="67"/>
      <c r="K98" s="67"/>
      <c r="L98" s="67"/>
      <c r="M98" s="67"/>
      <c r="N98" s="67"/>
      <c r="O98" s="67"/>
      <c r="P98" s="68"/>
      <c r="Q98" s="68"/>
    </row>
    <row collapsed="false" customFormat="false" customHeight="true" hidden="false" ht="15" outlineLevel="0" r="99">
      <c r="B99" s="66"/>
      <c r="C99" s="66"/>
      <c r="D99" s="64"/>
      <c r="E99" s="64"/>
      <c r="F99" s="64"/>
      <c r="G99" s="64"/>
      <c r="H99" s="64"/>
      <c r="I99" s="64"/>
      <c r="J99" s="67"/>
      <c r="K99" s="67"/>
      <c r="L99" s="67"/>
      <c r="M99" s="67"/>
      <c r="N99" s="67"/>
      <c r="O99" s="67"/>
      <c r="P99" s="68"/>
      <c r="Q99" s="68"/>
    </row>
    <row collapsed="false" customFormat="false" customHeight="true" hidden="false" ht="15" outlineLevel="0" r="100">
      <c r="B100" s="66"/>
      <c r="C100" s="66"/>
      <c r="D100" s="64"/>
      <c r="E100" s="64"/>
      <c r="F100" s="64"/>
      <c r="G100" s="64"/>
      <c r="H100" s="64"/>
      <c r="I100" s="64"/>
      <c r="J100" s="67"/>
      <c r="K100" s="67"/>
      <c r="L100" s="67"/>
      <c r="M100" s="67"/>
      <c r="N100" s="67"/>
      <c r="O100" s="67"/>
      <c r="P100" s="68"/>
      <c r="Q100" s="68"/>
    </row>
    <row collapsed="false" customFormat="false" customHeight="true" hidden="false" ht="15" outlineLevel="0" r="101">
      <c r="B101" s="66"/>
      <c r="C101" s="66"/>
      <c r="D101" s="64"/>
      <c r="E101" s="64"/>
      <c r="F101" s="64"/>
      <c r="G101" s="64"/>
      <c r="H101" s="64"/>
      <c r="I101" s="64"/>
      <c r="J101" s="67"/>
      <c r="K101" s="67"/>
      <c r="L101" s="67"/>
      <c r="M101" s="67"/>
      <c r="N101" s="67"/>
      <c r="O101" s="67"/>
      <c r="P101" s="68"/>
      <c r="Q101" s="68"/>
    </row>
    <row collapsed="false" customFormat="false" customHeight="true" hidden="false" ht="15" outlineLevel="0" r="102">
      <c r="B102" s="66"/>
      <c r="C102" s="66"/>
      <c r="D102" s="64"/>
      <c r="E102" s="64"/>
      <c r="F102" s="64"/>
      <c r="G102" s="64"/>
      <c r="H102" s="64"/>
      <c r="I102" s="64"/>
      <c r="J102" s="67"/>
      <c r="K102" s="67"/>
      <c r="L102" s="67"/>
      <c r="M102" s="67"/>
      <c r="N102" s="67"/>
      <c r="O102" s="67"/>
      <c r="P102" s="68"/>
      <c r="Q102" s="68"/>
    </row>
    <row collapsed="false" customFormat="false" customHeight="true" hidden="false" ht="15" outlineLevel="0" r="103">
      <c r="B103" s="66"/>
      <c r="C103" s="66"/>
      <c r="D103" s="64"/>
      <c r="E103" s="64"/>
      <c r="F103" s="64"/>
      <c r="G103" s="64"/>
      <c r="H103" s="64"/>
      <c r="I103" s="64"/>
      <c r="J103" s="67"/>
      <c r="K103" s="67"/>
      <c r="L103" s="67"/>
      <c r="M103" s="67"/>
      <c r="N103" s="67"/>
      <c r="O103" s="67"/>
      <c r="P103" s="68"/>
      <c r="Q103" s="68"/>
    </row>
    <row collapsed="false" customFormat="false" customHeight="true" hidden="false" ht="15" outlineLevel="0" r="104">
      <c r="B104" s="66"/>
      <c r="C104" s="66"/>
      <c r="D104" s="64"/>
      <c r="E104" s="64"/>
      <c r="F104" s="64"/>
      <c r="G104" s="64"/>
      <c r="H104" s="64"/>
      <c r="I104" s="64"/>
      <c r="J104" s="67"/>
      <c r="K104" s="67"/>
      <c r="L104" s="67"/>
      <c r="M104" s="67"/>
      <c r="N104" s="67"/>
      <c r="O104" s="67"/>
      <c r="P104" s="68"/>
      <c r="Q104" s="68"/>
    </row>
    <row collapsed="false" customFormat="false" customHeight="true" hidden="false" ht="15" outlineLevel="0" r="105">
      <c r="B105" s="66"/>
      <c r="C105" s="66"/>
      <c r="D105" s="64"/>
      <c r="E105" s="64"/>
      <c r="F105" s="64"/>
      <c r="G105" s="64"/>
      <c r="H105" s="64"/>
      <c r="I105" s="64"/>
      <c r="J105" s="67"/>
      <c r="K105" s="67"/>
      <c r="L105" s="67"/>
      <c r="M105" s="67"/>
      <c r="N105" s="67"/>
      <c r="O105" s="67"/>
      <c r="P105" s="68"/>
      <c r="Q105" s="68"/>
    </row>
    <row collapsed="false" customFormat="false" customHeight="true" hidden="false" ht="15" outlineLevel="0" r="106">
      <c r="B106" s="66"/>
      <c r="C106" s="66"/>
      <c r="D106" s="64"/>
      <c r="E106" s="64"/>
      <c r="F106" s="64"/>
      <c r="G106" s="64"/>
      <c r="H106" s="64"/>
      <c r="I106" s="64"/>
      <c r="J106" s="67"/>
      <c r="K106" s="67"/>
      <c r="L106" s="67"/>
      <c r="M106" s="67"/>
      <c r="N106" s="67"/>
      <c r="O106" s="67"/>
      <c r="P106" s="68"/>
      <c r="Q106" s="68"/>
    </row>
    <row collapsed="false" customFormat="false" customHeight="true" hidden="false" ht="15" outlineLevel="0" r="107">
      <c r="B107" s="66"/>
      <c r="C107" s="66"/>
      <c r="D107" s="64"/>
      <c r="E107" s="64"/>
      <c r="F107" s="64"/>
      <c r="G107" s="64"/>
      <c r="H107" s="64"/>
      <c r="I107" s="64"/>
      <c r="J107" s="67"/>
      <c r="K107" s="67"/>
      <c r="L107" s="67"/>
      <c r="M107" s="67"/>
      <c r="N107" s="67"/>
      <c r="O107" s="67"/>
      <c r="P107" s="68"/>
      <c r="Q107" s="68"/>
    </row>
    <row collapsed="false" customFormat="false" customHeight="true" hidden="false" ht="15" outlineLevel="0" r="108">
      <c r="B108" s="66"/>
      <c r="C108" s="66"/>
      <c r="D108" s="64"/>
      <c r="E108" s="64"/>
      <c r="F108" s="64"/>
      <c r="G108" s="64"/>
      <c r="H108" s="64"/>
      <c r="I108" s="64"/>
      <c r="J108" s="67"/>
      <c r="K108" s="67"/>
      <c r="L108" s="67"/>
      <c r="M108" s="67"/>
      <c r="N108" s="67"/>
      <c r="O108" s="67"/>
      <c r="P108" s="68"/>
      <c r="Q108" s="68"/>
    </row>
    <row collapsed="false" customFormat="false" customHeight="true" hidden="false" ht="15" outlineLevel="0" r="109">
      <c r="B109" s="66"/>
      <c r="C109" s="66"/>
      <c r="D109" s="64"/>
      <c r="E109" s="64"/>
      <c r="F109" s="64"/>
      <c r="G109" s="64"/>
      <c r="H109" s="64"/>
      <c r="I109" s="64"/>
      <c r="J109" s="67"/>
      <c r="K109" s="67"/>
      <c r="L109" s="67"/>
      <c r="M109" s="67"/>
      <c r="N109" s="67"/>
      <c r="O109" s="67"/>
      <c r="P109" s="68"/>
      <c r="Q109" s="68"/>
    </row>
    <row collapsed="false" customFormat="false" customHeight="true" hidden="false" ht="15" outlineLevel="0" r="110">
      <c r="B110" s="66"/>
      <c r="C110" s="66"/>
      <c r="D110" s="64"/>
      <c r="E110" s="64"/>
      <c r="F110" s="64"/>
      <c r="G110" s="64"/>
      <c r="H110" s="64"/>
      <c r="I110" s="64"/>
      <c r="J110" s="67"/>
      <c r="K110" s="67"/>
      <c r="L110" s="67"/>
      <c r="M110" s="67"/>
      <c r="N110" s="67"/>
      <c r="O110" s="67"/>
      <c r="P110" s="68"/>
      <c r="Q110" s="68"/>
    </row>
    <row collapsed="false" customFormat="false" customHeight="true" hidden="false" ht="15" outlineLevel="0" r="111">
      <c r="B111" s="66"/>
      <c r="C111" s="66"/>
      <c r="D111" s="64"/>
      <c r="E111" s="64"/>
      <c r="F111" s="64"/>
      <c r="G111" s="64"/>
      <c r="H111" s="64"/>
      <c r="I111" s="64"/>
      <c r="J111" s="67"/>
      <c r="K111" s="67"/>
      <c r="L111" s="67"/>
      <c r="M111" s="67"/>
      <c r="N111" s="67"/>
      <c r="O111" s="67"/>
      <c r="P111" s="68"/>
      <c r="Q111" s="68"/>
    </row>
    <row collapsed="false" customFormat="false" customHeight="true" hidden="false" ht="15" outlineLevel="0" r="112">
      <c r="B112" s="66"/>
      <c r="C112" s="66"/>
      <c r="D112" s="64"/>
      <c r="E112" s="64"/>
      <c r="F112" s="64"/>
      <c r="G112" s="64"/>
      <c r="H112" s="64"/>
      <c r="I112" s="64"/>
      <c r="J112" s="67"/>
      <c r="K112" s="67"/>
      <c r="L112" s="67"/>
      <c r="M112" s="67"/>
      <c r="N112" s="67"/>
      <c r="O112" s="67"/>
      <c r="P112" s="68"/>
      <c r="Q112" s="68"/>
    </row>
    <row collapsed="false" customFormat="false" customHeight="true" hidden="false" ht="15" outlineLevel="0" r="113">
      <c r="B113" s="66"/>
      <c r="C113" s="66"/>
      <c r="D113" s="64"/>
      <c r="E113" s="64"/>
      <c r="F113" s="64"/>
      <c r="G113" s="64"/>
      <c r="H113" s="64"/>
      <c r="I113" s="64"/>
      <c r="J113" s="67"/>
      <c r="K113" s="67"/>
      <c r="L113" s="67"/>
      <c r="M113" s="67"/>
      <c r="N113" s="67"/>
      <c r="O113" s="67"/>
      <c r="P113" s="68"/>
      <c r="Q113" s="68"/>
    </row>
    <row collapsed="false" customFormat="false" customHeight="true" hidden="false" ht="15" outlineLevel="0" r="114">
      <c r="B114" s="66"/>
      <c r="C114" s="66"/>
      <c r="D114" s="64"/>
      <c r="E114" s="64"/>
      <c r="F114" s="64"/>
      <c r="G114" s="64"/>
      <c r="H114" s="64"/>
      <c r="I114" s="64"/>
      <c r="J114" s="67"/>
      <c r="K114" s="67"/>
      <c r="L114" s="67"/>
      <c r="M114" s="67"/>
      <c r="N114" s="67"/>
      <c r="O114" s="67"/>
      <c r="P114" s="68"/>
      <c r="Q114" s="68"/>
    </row>
    <row collapsed="false" customFormat="false" customHeight="true" hidden="false" ht="15" outlineLevel="0" r="115">
      <c r="B115" s="66"/>
      <c r="C115" s="66"/>
      <c r="D115" s="64"/>
      <c r="E115" s="64"/>
      <c r="F115" s="64"/>
      <c r="G115" s="64"/>
      <c r="H115" s="64"/>
      <c r="I115" s="64"/>
      <c r="J115" s="67"/>
      <c r="K115" s="67"/>
      <c r="L115" s="67"/>
      <c r="M115" s="67"/>
      <c r="N115" s="67"/>
      <c r="O115" s="67"/>
      <c r="P115" s="68"/>
      <c r="Q115" s="68"/>
    </row>
    <row collapsed="false" customFormat="false" customHeight="true" hidden="false" ht="15" outlineLevel="0" r="116">
      <c r="B116" s="66"/>
      <c r="C116" s="66"/>
      <c r="D116" s="64"/>
      <c r="E116" s="64"/>
      <c r="F116" s="64"/>
      <c r="G116" s="64"/>
      <c r="H116" s="64"/>
      <c r="I116" s="64"/>
      <c r="J116" s="67"/>
      <c r="K116" s="67"/>
      <c r="L116" s="67"/>
      <c r="M116" s="67"/>
      <c r="N116" s="67"/>
      <c r="O116" s="67"/>
      <c r="P116" s="68"/>
      <c r="Q116" s="68"/>
    </row>
    <row collapsed="false" customFormat="false" customHeight="true" hidden="false" ht="15" outlineLevel="0" r="117">
      <c r="B117" s="66"/>
      <c r="C117" s="66"/>
      <c r="D117" s="64"/>
      <c r="E117" s="64"/>
      <c r="F117" s="64"/>
      <c r="G117" s="64"/>
      <c r="H117" s="64"/>
      <c r="I117" s="64"/>
      <c r="J117" s="67"/>
      <c r="K117" s="67"/>
      <c r="L117" s="67"/>
      <c r="M117" s="67"/>
      <c r="N117" s="67"/>
      <c r="O117" s="67"/>
      <c r="P117" s="68"/>
      <c r="Q117" s="68"/>
    </row>
    <row collapsed="false" customFormat="false" customHeight="true" hidden="false" ht="15" outlineLevel="0" r="118">
      <c r="B118" s="66"/>
      <c r="C118" s="66"/>
      <c r="D118" s="64"/>
      <c r="E118" s="64"/>
      <c r="F118" s="64"/>
      <c r="G118" s="64"/>
      <c r="H118" s="64"/>
      <c r="I118" s="64"/>
      <c r="J118" s="67"/>
      <c r="K118" s="67"/>
      <c r="L118" s="67"/>
      <c r="M118" s="67"/>
      <c r="N118" s="67"/>
      <c r="O118" s="67"/>
      <c r="P118" s="68"/>
      <c r="Q118" s="68"/>
    </row>
    <row collapsed="false" customFormat="false" customHeight="true" hidden="false" ht="15" outlineLevel="0" r="119">
      <c r="B119" s="66"/>
      <c r="C119" s="66"/>
      <c r="D119" s="64"/>
      <c r="E119" s="64"/>
      <c r="F119" s="64"/>
      <c r="G119" s="64"/>
      <c r="H119" s="64"/>
      <c r="I119" s="64"/>
      <c r="J119" s="67"/>
      <c r="K119" s="67"/>
      <c r="L119" s="67"/>
      <c r="M119" s="67"/>
      <c r="N119" s="67"/>
      <c r="O119" s="67"/>
      <c r="P119" s="68"/>
      <c r="Q119" s="68"/>
    </row>
    <row collapsed="false" customFormat="false" customHeight="true" hidden="false" ht="15" outlineLevel="0" r="120">
      <c r="B120" s="66"/>
      <c r="C120" s="66"/>
      <c r="D120" s="64"/>
      <c r="E120" s="64"/>
      <c r="F120" s="64"/>
      <c r="G120" s="64"/>
      <c r="H120" s="64"/>
      <c r="I120" s="64"/>
      <c r="J120" s="67"/>
      <c r="K120" s="67"/>
      <c r="L120" s="67"/>
      <c r="M120" s="67"/>
      <c r="N120" s="67"/>
      <c r="O120" s="67"/>
      <c r="P120" s="68"/>
      <c r="Q120" s="68"/>
    </row>
    <row collapsed="false" customFormat="false" customHeight="true" hidden="false" ht="15" outlineLevel="0" r="121">
      <c r="B121" s="66"/>
      <c r="C121" s="66"/>
      <c r="D121" s="64"/>
      <c r="E121" s="64"/>
      <c r="F121" s="64"/>
      <c r="G121" s="64"/>
      <c r="H121" s="64"/>
      <c r="I121" s="64"/>
      <c r="J121" s="67"/>
      <c r="K121" s="67"/>
      <c r="L121" s="67"/>
      <c r="M121" s="67"/>
      <c r="N121" s="67"/>
      <c r="O121" s="67"/>
      <c r="P121" s="68"/>
      <c r="Q121" s="68"/>
    </row>
    <row collapsed="false" customFormat="false" customHeight="true" hidden="false" ht="15" outlineLevel="0" r="122">
      <c r="B122" s="66"/>
      <c r="C122" s="66"/>
      <c r="D122" s="64"/>
      <c r="E122" s="64"/>
      <c r="F122" s="64"/>
      <c r="G122" s="64"/>
      <c r="H122" s="64"/>
      <c r="I122" s="64"/>
      <c r="J122" s="67"/>
      <c r="K122" s="67"/>
      <c r="L122" s="67"/>
      <c r="M122" s="67"/>
      <c r="N122" s="67"/>
      <c r="O122" s="67"/>
      <c r="P122" s="68"/>
      <c r="Q122" s="68"/>
    </row>
    <row collapsed="false" customFormat="false" customHeight="true" hidden="false" ht="15" outlineLevel="0" r="123">
      <c r="B123" s="66"/>
      <c r="C123" s="66"/>
      <c r="D123" s="64"/>
      <c r="E123" s="64"/>
      <c r="F123" s="64"/>
      <c r="G123" s="64"/>
      <c r="H123" s="64"/>
      <c r="I123" s="64"/>
      <c r="J123" s="67"/>
      <c r="K123" s="67"/>
      <c r="L123" s="67"/>
      <c r="M123" s="67"/>
      <c r="N123" s="67"/>
      <c r="O123" s="67"/>
      <c r="P123" s="68"/>
      <c r="Q123" s="68"/>
    </row>
    <row collapsed="false" customFormat="false" customHeight="true" hidden="false" ht="15" outlineLevel="0" r="124">
      <c r="B124" s="66"/>
      <c r="C124" s="66"/>
      <c r="D124" s="64"/>
      <c r="E124" s="64"/>
      <c r="F124" s="64"/>
      <c r="G124" s="64"/>
      <c r="H124" s="64"/>
      <c r="I124" s="64"/>
      <c r="J124" s="67"/>
      <c r="K124" s="67"/>
      <c r="L124" s="67"/>
      <c r="M124" s="67"/>
      <c r="N124" s="67"/>
      <c r="O124" s="67"/>
      <c r="P124" s="68"/>
      <c r="Q124" s="68"/>
    </row>
    <row collapsed="false" customFormat="false" customHeight="true" hidden="false" ht="15" outlineLevel="0" r="125">
      <c r="B125" s="66"/>
      <c r="C125" s="66"/>
      <c r="D125" s="64"/>
      <c r="E125" s="64"/>
      <c r="F125" s="64"/>
      <c r="G125" s="64"/>
      <c r="H125" s="64"/>
      <c r="I125" s="64"/>
      <c r="J125" s="67"/>
      <c r="K125" s="67"/>
      <c r="L125" s="67"/>
      <c r="M125" s="67"/>
      <c r="N125" s="67"/>
      <c r="O125" s="67"/>
      <c r="P125" s="68"/>
      <c r="Q125" s="68"/>
    </row>
    <row collapsed="false" customFormat="false" customHeight="true" hidden="false" ht="15" outlineLevel="0" r="126">
      <c r="B126" s="66"/>
      <c r="C126" s="66"/>
      <c r="D126" s="64"/>
      <c r="E126" s="64"/>
      <c r="F126" s="64"/>
      <c r="G126" s="64"/>
      <c r="H126" s="64"/>
      <c r="I126" s="64"/>
      <c r="J126" s="67"/>
      <c r="K126" s="67"/>
      <c r="L126" s="67"/>
      <c r="M126" s="67"/>
      <c r="N126" s="67"/>
      <c r="O126" s="67"/>
      <c r="P126" s="68"/>
      <c r="Q126" s="68"/>
    </row>
    <row collapsed="false" customFormat="false" customHeight="true" hidden="false" ht="15" outlineLevel="0" r="127">
      <c r="B127" s="66"/>
      <c r="C127" s="66"/>
      <c r="D127" s="64"/>
      <c r="E127" s="64"/>
      <c r="F127" s="64"/>
      <c r="G127" s="64"/>
      <c r="H127" s="64"/>
      <c r="I127" s="64"/>
      <c r="J127" s="67"/>
      <c r="K127" s="67"/>
      <c r="L127" s="67"/>
      <c r="M127" s="67"/>
      <c r="N127" s="67"/>
      <c r="O127" s="67"/>
      <c r="P127" s="68"/>
      <c r="Q127" s="68"/>
    </row>
    <row collapsed="false" customFormat="false" customHeight="true" hidden="false" ht="15" outlineLevel="0" r="128">
      <c r="B128" s="66"/>
      <c r="C128" s="66"/>
      <c r="D128" s="64"/>
      <c r="E128" s="64"/>
      <c r="F128" s="64"/>
      <c r="G128" s="64"/>
      <c r="H128" s="64"/>
      <c r="I128" s="64"/>
      <c r="J128" s="67"/>
      <c r="K128" s="67"/>
      <c r="L128" s="67"/>
      <c r="M128" s="67"/>
      <c r="N128" s="67"/>
      <c r="O128" s="67"/>
      <c r="P128" s="68"/>
      <c r="Q128" s="68"/>
    </row>
    <row collapsed="false" customFormat="false" customHeight="true" hidden="false" ht="15" outlineLevel="0" r="129">
      <c r="B129" s="66"/>
      <c r="C129" s="66"/>
      <c r="D129" s="64"/>
      <c r="E129" s="64"/>
      <c r="F129" s="64"/>
      <c r="G129" s="64"/>
      <c r="H129" s="64"/>
      <c r="I129" s="64"/>
      <c r="J129" s="67"/>
      <c r="K129" s="67"/>
      <c r="L129" s="67"/>
      <c r="M129" s="67"/>
      <c r="N129" s="67"/>
      <c r="O129" s="67"/>
      <c r="P129" s="68"/>
      <c r="Q129" s="68"/>
    </row>
    <row collapsed="false" customFormat="false" customHeight="true" hidden="false" ht="15" outlineLevel="0" r="130">
      <c r="B130" s="66"/>
      <c r="C130" s="66"/>
      <c r="D130" s="64"/>
      <c r="E130" s="64"/>
      <c r="F130" s="64"/>
      <c r="G130" s="64"/>
      <c r="H130" s="64"/>
      <c r="I130" s="64"/>
      <c r="J130" s="67"/>
      <c r="K130" s="67"/>
      <c r="L130" s="67"/>
      <c r="M130" s="67"/>
      <c r="N130" s="67"/>
      <c r="O130" s="67"/>
      <c r="P130" s="68"/>
      <c r="Q130" s="68"/>
    </row>
    <row collapsed="false" customFormat="false" customHeight="true" hidden="false" ht="15" outlineLevel="0" r="131">
      <c r="B131" s="66"/>
      <c r="C131" s="66"/>
      <c r="D131" s="64"/>
      <c r="E131" s="64"/>
      <c r="F131" s="64"/>
      <c r="G131" s="64"/>
      <c r="H131" s="64"/>
      <c r="I131" s="64"/>
      <c r="J131" s="67"/>
      <c r="K131" s="67"/>
      <c r="L131" s="67"/>
      <c r="M131" s="67"/>
      <c r="N131" s="67"/>
      <c r="O131" s="67"/>
      <c r="P131" s="68"/>
      <c r="Q131" s="68"/>
    </row>
    <row collapsed="false" customFormat="false" customHeight="true" hidden="false" ht="15" outlineLevel="0" r="132">
      <c r="B132" s="66"/>
      <c r="C132" s="66"/>
      <c r="D132" s="64"/>
      <c r="E132" s="64"/>
      <c r="F132" s="64"/>
      <c r="G132" s="64"/>
      <c r="H132" s="64"/>
      <c r="I132" s="64"/>
      <c r="J132" s="67"/>
      <c r="K132" s="67"/>
      <c r="L132" s="67"/>
      <c r="M132" s="67"/>
      <c r="N132" s="67"/>
      <c r="O132" s="67"/>
      <c r="P132" s="68"/>
      <c r="Q132" s="68"/>
    </row>
    <row collapsed="false" customFormat="false" customHeight="true" hidden="false" ht="15" outlineLevel="0" r="133">
      <c r="B133" s="66"/>
      <c r="C133" s="66"/>
      <c r="D133" s="64"/>
      <c r="E133" s="64"/>
      <c r="F133" s="64"/>
      <c r="G133" s="64"/>
      <c r="H133" s="64"/>
      <c r="I133" s="64"/>
      <c r="J133" s="67"/>
      <c r="K133" s="67"/>
      <c r="L133" s="67"/>
      <c r="M133" s="67"/>
      <c r="N133" s="67"/>
      <c r="O133" s="67"/>
      <c r="P133" s="68"/>
      <c r="Q133" s="68"/>
    </row>
    <row collapsed="false" customFormat="false" customHeight="true" hidden="false" ht="15" outlineLevel="0" r="134">
      <c r="B134" s="66"/>
      <c r="C134" s="66"/>
      <c r="D134" s="64"/>
      <c r="E134" s="64"/>
      <c r="F134" s="64"/>
      <c r="G134" s="64"/>
      <c r="H134" s="64"/>
      <c r="I134" s="64"/>
      <c r="J134" s="67"/>
      <c r="K134" s="67"/>
      <c r="L134" s="67"/>
      <c r="M134" s="67"/>
      <c r="N134" s="67"/>
      <c r="O134" s="67"/>
      <c r="P134" s="68"/>
      <c r="Q134" s="68"/>
    </row>
    <row collapsed="false" customFormat="false" customHeight="true" hidden="false" ht="15" outlineLevel="0" r="135">
      <c r="B135" s="66"/>
      <c r="C135" s="66"/>
      <c r="D135" s="64"/>
      <c r="E135" s="64"/>
      <c r="F135" s="64"/>
      <c r="G135" s="64"/>
      <c r="H135" s="64"/>
      <c r="I135" s="64"/>
      <c r="J135" s="67"/>
      <c r="K135" s="67"/>
      <c r="L135" s="67"/>
      <c r="M135" s="67"/>
      <c r="N135" s="67"/>
      <c r="O135" s="67"/>
      <c r="P135" s="68"/>
      <c r="Q135" s="68"/>
    </row>
    <row collapsed="false" customFormat="false" customHeight="true" hidden="false" ht="15" outlineLevel="0" r="136">
      <c r="B136" s="66"/>
      <c r="C136" s="66"/>
      <c r="D136" s="64"/>
      <c r="E136" s="64"/>
      <c r="F136" s="64"/>
      <c r="G136" s="64"/>
      <c r="H136" s="64"/>
      <c r="I136" s="64"/>
      <c r="J136" s="67"/>
      <c r="K136" s="67"/>
      <c r="L136" s="67"/>
      <c r="M136" s="67"/>
      <c r="N136" s="67"/>
      <c r="O136" s="67"/>
      <c r="P136" s="68"/>
      <c r="Q136" s="68"/>
    </row>
    <row collapsed="false" customFormat="false" customHeight="true" hidden="false" ht="15" outlineLevel="0" r="137">
      <c r="B137" s="66"/>
      <c r="C137" s="66"/>
      <c r="D137" s="64"/>
      <c r="E137" s="64"/>
      <c r="F137" s="64"/>
      <c r="G137" s="64"/>
      <c r="H137" s="64"/>
      <c r="I137" s="64"/>
      <c r="J137" s="67"/>
      <c r="K137" s="67"/>
      <c r="L137" s="67"/>
      <c r="M137" s="67"/>
      <c r="N137" s="67"/>
      <c r="O137" s="67"/>
      <c r="P137" s="68"/>
      <c r="Q137" s="68"/>
    </row>
    <row collapsed="false" customFormat="false" customHeight="true" hidden="false" ht="15" outlineLevel="0" r="138">
      <c r="B138" s="66"/>
      <c r="C138" s="66"/>
      <c r="D138" s="64"/>
      <c r="E138" s="64"/>
      <c r="F138" s="64"/>
      <c r="G138" s="64"/>
      <c r="H138" s="64"/>
      <c r="I138" s="64"/>
      <c r="J138" s="67"/>
      <c r="K138" s="67"/>
      <c r="L138" s="67"/>
      <c r="M138" s="67"/>
      <c r="N138" s="67"/>
      <c r="O138" s="67"/>
      <c r="P138" s="68"/>
      <c r="Q138" s="68"/>
    </row>
    <row collapsed="false" customFormat="false" customHeight="true" hidden="false" ht="15" outlineLevel="0" r="139">
      <c r="B139" s="66"/>
      <c r="C139" s="66"/>
      <c r="D139" s="64"/>
      <c r="E139" s="64"/>
      <c r="F139" s="64"/>
      <c r="G139" s="64"/>
      <c r="H139" s="64"/>
      <c r="I139" s="64"/>
      <c r="J139" s="67"/>
      <c r="K139" s="67"/>
      <c r="L139" s="67"/>
      <c r="M139" s="67"/>
      <c r="N139" s="67"/>
      <c r="O139" s="67"/>
      <c r="P139" s="68"/>
      <c r="Q139" s="68"/>
    </row>
    <row collapsed="false" customFormat="false" customHeight="true" hidden="false" ht="15" outlineLevel="0" r="140">
      <c r="B140" s="66"/>
      <c r="C140" s="66"/>
      <c r="D140" s="64"/>
      <c r="E140" s="64"/>
      <c r="F140" s="64"/>
      <c r="G140" s="64"/>
      <c r="H140" s="64"/>
      <c r="I140" s="64"/>
      <c r="J140" s="67"/>
      <c r="K140" s="67"/>
      <c r="L140" s="67"/>
      <c r="M140" s="67"/>
      <c r="N140" s="67"/>
      <c r="O140" s="67"/>
      <c r="P140" s="68"/>
      <c r="Q140" s="68"/>
    </row>
    <row collapsed="false" customFormat="false" customHeight="true" hidden="false" ht="15" outlineLevel="0" r="141">
      <c r="B141" s="66"/>
      <c r="C141" s="66"/>
      <c r="D141" s="64"/>
      <c r="E141" s="64"/>
      <c r="F141" s="64"/>
      <c r="G141" s="64"/>
      <c r="H141" s="64"/>
      <c r="I141" s="64"/>
      <c r="J141" s="67"/>
      <c r="K141" s="67"/>
      <c r="L141" s="67"/>
      <c r="M141" s="67"/>
      <c r="N141" s="67"/>
      <c r="O141" s="67"/>
      <c r="P141" s="68"/>
      <c r="Q141" s="68"/>
    </row>
    <row collapsed="false" customFormat="false" customHeight="true" hidden="false" ht="15" outlineLevel="0" r="142">
      <c r="B142" s="66"/>
      <c r="C142" s="66"/>
      <c r="D142" s="64"/>
      <c r="E142" s="64"/>
      <c r="F142" s="64"/>
      <c r="G142" s="64"/>
      <c r="H142" s="64"/>
      <c r="I142" s="64"/>
      <c r="J142" s="67"/>
      <c r="K142" s="67"/>
      <c r="L142" s="67"/>
      <c r="M142" s="67"/>
      <c r="N142" s="67"/>
      <c r="O142" s="67"/>
      <c r="P142" s="68"/>
      <c r="Q142" s="68"/>
    </row>
    <row collapsed="false" customFormat="false" customHeight="true" hidden="false" ht="15" outlineLevel="0" r="143">
      <c r="B143" s="66"/>
      <c r="C143" s="66"/>
      <c r="D143" s="64"/>
      <c r="E143" s="64"/>
      <c r="F143" s="64"/>
      <c r="G143" s="64"/>
      <c r="H143" s="64"/>
      <c r="I143" s="64"/>
      <c r="J143" s="67"/>
      <c r="K143" s="67"/>
      <c r="L143" s="67"/>
      <c r="M143" s="67"/>
      <c r="N143" s="67"/>
      <c r="O143" s="67"/>
      <c r="P143" s="68"/>
      <c r="Q143" s="68"/>
    </row>
    <row collapsed="false" customFormat="false" customHeight="true" hidden="false" ht="15" outlineLevel="0" r="144">
      <c r="B144" s="66"/>
      <c r="C144" s="66"/>
      <c r="D144" s="64"/>
      <c r="E144" s="64"/>
      <c r="F144" s="64"/>
      <c r="G144" s="64"/>
      <c r="H144" s="64"/>
      <c r="I144" s="64"/>
      <c r="J144" s="67"/>
      <c r="K144" s="67"/>
      <c r="L144" s="67"/>
      <c r="M144" s="67"/>
      <c r="N144" s="67"/>
      <c r="O144" s="67"/>
      <c r="P144" s="68"/>
      <c r="Q144" s="68"/>
    </row>
    <row collapsed="false" customFormat="false" customHeight="true" hidden="false" ht="15" outlineLevel="0" r="145">
      <c r="B145" s="66"/>
      <c r="C145" s="66"/>
      <c r="D145" s="64"/>
      <c r="E145" s="64"/>
      <c r="F145" s="64"/>
      <c r="G145" s="64"/>
      <c r="H145" s="64"/>
      <c r="I145" s="64"/>
      <c r="J145" s="67"/>
      <c r="K145" s="67"/>
      <c r="L145" s="67"/>
      <c r="M145" s="67"/>
      <c r="N145" s="67"/>
      <c r="O145" s="67"/>
      <c r="P145" s="68"/>
      <c r="Q145" s="68"/>
    </row>
    <row collapsed="false" customFormat="false" customHeight="true" hidden="false" ht="15" outlineLevel="0" r="146">
      <c r="B146" s="66"/>
      <c r="C146" s="66"/>
      <c r="D146" s="64"/>
      <c r="E146" s="64"/>
      <c r="F146" s="64"/>
      <c r="G146" s="64"/>
      <c r="H146" s="64"/>
      <c r="I146" s="64"/>
      <c r="J146" s="67"/>
      <c r="K146" s="67"/>
      <c r="L146" s="67"/>
      <c r="M146" s="67"/>
      <c r="N146" s="67"/>
      <c r="O146" s="67"/>
      <c r="P146" s="68"/>
      <c r="Q146" s="68"/>
    </row>
    <row collapsed="false" customFormat="false" customHeight="true" hidden="false" ht="15" outlineLevel="0" r="147">
      <c r="B147" s="66"/>
      <c r="C147" s="66"/>
      <c r="D147" s="64"/>
      <c r="E147" s="64"/>
      <c r="F147" s="64"/>
      <c r="G147" s="64"/>
      <c r="H147" s="64"/>
      <c r="I147" s="64"/>
      <c r="J147" s="67"/>
      <c r="K147" s="67"/>
      <c r="L147" s="67"/>
      <c r="M147" s="67"/>
      <c r="N147" s="67"/>
      <c r="O147" s="67"/>
      <c r="P147" s="68"/>
      <c r="Q147" s="68"/>
    </row>
    <row collapsed="false" customFormat="false" customHeight="true" hidden="false" ht="15" outlineLevel="0" r="148">
      <c r="B148" s="66"/>
      <c r="C148" s="66"/>
      <c r="D148" s="64"/>
      <c r="E148" s="64"/>
      <c r="F148" s="64"/>
      <c r="G148" s="64"/>
      <c r="H148" s="64"/>
      <c r="I148" s="64"/>
      <c r="J148" s="67"/>
      <c r="K148" s="67"/>
      <c r="L148" s="67"/>
      <c r="M148" s="67"/>
      <c r="N148" s="67"/>
      <c r="O148" s="67"/>
      <c r="P148" s="68"/>
      <c r="Q148" s="68"/>
    </row>
    <row collapsed="false" customFormat="false" customHeight="true" hidden="false" ht="15" outlineLevel="0" r="149">
      <c r="B149" s="66"/>
      <c r="C149" s="66"/>
      <c r="D149" s="64"/>
      <c r="E149" s="64"/>
      <c r="F149" s="64"/>
      <c r="G149" s="64"/>
      <c r="H149" s="64"/>
      <c r="I149" s="64"/>
      <c r="J149" s="67"/>
      <c r="K149" s="67"/>
      <c r="L149" s="67"/>
      <c r="M149" s="67"/>
      <c r="N149" s="67"/>
      <c r="O149" s="67"/>
      <c r="P149" s="68"/>
      <c r="Q149" s="68"/>
    </row>
    <row collapsed="false" customFormat="false" customHeight="true" hidden="false" ht="15" outlineLevel="0" r="150">
      <c r="B150" s="66"/>
      <c r="C150" s="66"/>
      <c r="D150" s="64"/>
      <c r="E150" s="64"/>
      <c r="F150" s="64"/>
      <c r="G150" s="64"/>
      <c r="H150" s="64"/>
      <c r="I150" s="64"/>
      <c r="J150" s="67"/>
      <c r="K150" s="67"/>
      <c r="L150" s="67"/>
      <c r="M150" s="67"/>
      <c r="N150" s="67"/>
      <c r="O150" s="67"/>
      <c r="P150" s="68"/>
      <c r="Q150" s="68"/>
    </row>
    <row collapsed="false" customFormat="false" customHeight="true" hidden="false" ht="15" outlineLevel="0" r="151">
      <c r="B151" s="66"/>
      <c r="C151" s="66"/>
      <c r="D151" s="64"/>
      <c r="E151" s="64"/>
      <c r="F151" s="64"/>
      <c r="G151" s="64"/>
      <c r="H151" s="64"/>
      <c r="I151" s="64"/>
      <c r="J151" s="67"/>
      <c r="K151" s="67"/>
      <c r="L151" s="67"/>
      <c r="M151" s="67"/>
      <c r="N151" s="67"/>
      <c r="O151" s="67"/>
      <c r="P151" s="68"/>
      <c r="Q151" s="68"/>
    </row>
    <row collapsed="false" customFormat="false" customHeight="true" hidden="false" ht="15" outlineLevel="0" r="152">
      <c r="B152" s="66"/>
      <c r="C152" s="66"/>
      <c r="D152" s="64"/>
      <c r="E152" s="64"/>
      <c r="F152" s="64"/>
      <c r="G152" s="64"/>
      <c r="H152" s="64"/>
      <c r="I152" s="64"/>
      <c r="J152" s="67"/>
      <c r="K152" s="67"/>
      <c r="L152" s="67"/>
      <c r="M152" s="67"/>
      <c r="N152" s="67"/>
      <c r="O152" s="67"/>
      <c r="P152" s="68"/>
      <c r="Q152" s="68"/>
    </row>
    <row collapsed="false" customFormat="false" customHeight="true" hidden="false" ht="15" outlineLevel="0" r="153">
      <c r="B153" s="66"/>
      <c r="C153" s="66"/>
      <c r="D153" s="64"/>
      <c r="E153" s="64"/>
      <c r="F153" s="64"/>
      <c r="G153" s="64"/>
      <c r="H153" s="64"/>
      <c r="I153" s="64"/>
      <c r="J153" s="67"/>
      <c r="K153" s="67"/>
      <c r="L153" s="67"/>
      <c r="M153" s="67"/>
      <c r="N153" s="67"/>
      <c r="O153" s="67"/>
      <c r="P153" s="68"/>
      <c r="Q153" s="68"/>
    </row>
    <row collapsed="false" customFormat="false" customHeight="true" hidden="false" ht="15" outlineLevel="0" r="154">
      <c r="B154" s="66"/>
      <c r="C154" s="66"/>
      <c r="D154" s="64"/>
      <c r="E154" s="64"/>
      <c r="F154" s="64"/>
      <c r="G154" s="64"/>
      <c r="H154" s="64"/>
      <c r="I154" s="64"/>
      <c r="J154" s="67"/>
      <c r="K154" s="67"/>
      <c r="L154" s="67"/>
      <c r="M154" s="67"/>
      <c r="N154" s="67"/>
      <c r="O154" s="67"/>
      <c r="P154" s="68"/>
      <c r="Q154" s="68"/>
    </row>
    <row collapsed="false" customFormat="false" customHeight="true" hidden="false" ht="15" outlineLevel="0" r="155">
      <c r="B155" s="66"/>
      <c r="C155" s="66"/>
      <c r="D155" s="64"/>
      <c r="E155" s="64"/>
      <c r="F155" s="64"/>
      <c r="G155" s="64"/>
      <c r="H155" s="64"/>
      <c r="I155" s="64"/>
      <c r="J155" s="67"/>
      <c r="K155" s="67"/>
      <c r="L155" s="67"/>
      <c r="M155" s="67"/>
      <c r="N155" s="67"/>
      <c r="O155" s="67"/>
      <c r="P155" s="68"/>
      <c r="Q155" s="68"/>
    </row>
    <row collapsed="false" customFormat="false" customHeight="true" hidden="false" ht="15" outlineLevel="0" r="156">
      <c r="B156" s="66"/>
      <c r="C156" s="66"/>
      <c r="D156" s="64"/>
      <c r="E156" s="64"/>
      <c r="F156" s="64"/>
      <c r="G156" s="64"/>
      <c r="H156" s="64"/>
      <c r="I156" s="64"/>
      <c r="J156" s="67"/>
      <c r="K156" s="67"/>
      <c r="L156" s="67"/>
      <c r="M156" s="67"/>
      <c r="N156" s="67"/>
      <c r="O156" s="67"/>
      <c r="P156" s="68"/>
      <c r="Q156" s="68"/>
    </row>
    <row collapsed="false" customFormat="false" customHeight="true" hidden="false" ht="15" outlineLevel="0" r="157">
      <c r="B157" s="66"/>
      <c r="C157" s="66"/>
      <c r="D157" s="64"/>
      <c r="E157" s="64"/>
      <c r="F157" s="64"/>
      <c r="G157" s="64"/>
      <c r="H157" s="64"/>
      <c r="I157" s="64"/>
      <c r="J157" s="67"/>
      <c r="K157" s="67"/>
      <c r="L157" s="67"/>
      <c r="M157" s="67"/>
      <c r="N157" s="67"/>
      <c r="O157" s="67"/>
      <c r="P157" s="68"/>
      <c r="Q157" s="68"/>
    </row>
    <row collapsed="false" customFormat="false" customHeight="true" hidden="false" ht="15" outlineLevel="0" r="158">
      <c r="B158" s="66"/>
      <c r="C158" s="66"/>
      <c r="D158" s="64"/>
      <c r="E158" s="64"/>
      <c r="F158" s="64"/>
      <c r="G158" s="64"/>
      <c r="H158" s="64"/>
      <c r="I158" s="64"/>
      <c r="J158" s="67"/>
      <c r="K158" s="67"/>
      <c r="L158" s="67"/>
      <c r="M158" s="67"/>
      <c r="N158" s="67"/>
      <c r="O158" s="67"/>
      <c r="P158" s="68"/>
      <c r="Q158" s="68"/>
    </row>
    <row collapsed="false" customFormat="false" customHeight="true" hidden="false" ht="15" outlineLevel="0" r="159">
      <c r="B159" s="66"/>
      <c r="C159" s="66"/>
      <c r="D159" s="64"/>
      <c r="E159" s="64"/>
      <c r="F159" s="64"/>
      <c r="G159" s="64"/>
      <c r="H159" s="64"/>
      <c r="I159" s="64"/>
      <c r="J159" s="67"/>
      <c r="K159" s="67"/>
      <c r="L159" s="67"/>
      <c r="M159" s="67"/>
      <c r="N159" s="67"/>
      <c r="O159" s="67"/>
      <c r="P159" s="68"/>
      <c r="Q159" s="68"/>
    </row>
    <row collapsed="false" customFormat="false" customHeight="true" hidden="false" ht="15" outlineLevel="0" r="160">
      <c r="B160" s="66"/>
      <c r="C160" s="66"/>
      <c r="D160" s="64"/>
      <c r="E160" s="64"/>
      <c r="F160" s="64"/>
      <c r="G160" s="64"/>
      <c r="H160" s="64"/>
      <c r="I160" s="64"/>
      <c r="J160" s="67"/>
      <c r="K160" s="67"/>
      <c r="L160" s="67"/>
      <c r="M160" s="67"/>
      <c r="N160" s="67"/>
      <c r="O160" s="67"/>
      <c r="P160" s="68"/>
      <c r="Q160" s="68"/>
    </row>
    <row collapsed="false" customFormat="false" customHeight="true" hidden="false" ht="15" outlineLevel="0" r="161">
      <c r="B161" s="66"/>
      <c r="C161" s="66"/>
      <c r="D161" s="64"/>
      <c r="E161" s="64"/>
      <c r="F161" s="64"/>
      <c r="G161" s="64"/>
      <c r="H161" s="64"/>
      <c r="I161" s="64"/>
      <c r="J161" s="67"/>
      <c r="K161" s="67"/>
      <c r="L161" s="67"/>
      <c r="M161" s="67"/>
      <c r="N161" s="67"/>
      <c r="O161" s="67"/>
      <c r="P161" s="68"/>
      <c r="Q161" s="68"/>
    </row>
    <row collapsed="false" customFormat="false" customHeight="true" hidden="false" ht="15" outlineLevel="0" r="162">
      <c r="B162" s="66"/>
      <c r="C162" s="66"/>
      <c r="D162" s="64"/>
      <c r="E162" s="64"/>
      <c r="F162" s="64"/>
      <c r="G162" s="64"/>
      <c r="H162" s="64"/>
      <c r="I162" s="64"/>
      <c r="J162" s="67"/>
      <c r="K162" s="67"/>
      <c r="L162" s="67"/>
      <c r="M162" s="67"/>
      <c r="N162" s="67"/>
      <c r="O162" s="67"/>
      <c r="P162" s="68"/>
      <c r="Q162" s="68"/>
    </row>
    <row collapsed="false" customFormat="false" customHeight="true" hidden="false" ht="15" outlineLevel="0" r="163">
      <c r="B163" s="66"/>
      <c r="C163" s="66"/>
      <c r="D163" s="64"/>
      <c r="E163" s="64"/>
      <c r="F163" s="64"/>
      <c r="G163" s="64"/>
      <c r="H163" s="64"/>
      <c r="I163" s="64"/>
      <c r="J163" s="67"/>
      <c r="K163" s="67"/>
      <c r="L163" s="67"/>
      <c r="M163" s="67"/>
      <c r="N163" s="67"/>
      <c r="O163" s="67"/>
      <c r="P163" s="68"/>
      <c r="Q163" s="68"/>
    </row>
    <row collapsed="false" customFormat="false" customHeight="true" hidden="false" ht="15.75" outlineLevel="0" r="164">
      <c r="B164" s="69"/>
      <c r="C164" s="69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1"/>
      <c r="Q164" s="71"/>
    </row>
    <row collapsed="false" customFormat="false" customHeight="true" hidden="false" ht="12.6" outlineLevel="0" r="166">
      <c r="B166" s="72" t="s">
        <v>106</v>
      </c>
    </row>
    <row collapsed="false" customFormat="false" customHeight="true" hidden="false" ht="12.6" outlineLevel="0" r="168">
      <c r="B168" s="1" t="s">
        <v>107</v>
      </c>
    </row>
    <row collapsed="false" customFormat="false" customHeight="true" hidden="false" ht="12.6" outlineLevel="0" r="169">
      <c r="B169" s="72" t="s">
        <v>108</v>
      </c>
    </row>
    <row collapsed="false" customFormat="false" customHeight="true" hidden="false" ht="12.6" outlineLevel="0" r="170">
      <c r="B170" s="1" t="s">
        <v>109</v>
      </c>
    </row>
    <row collapsed="false" customFormat="false" customHeight="true" hidden="false" ht="12.6" outlineLevel="0" r="171">
      <c r="B171" s="72" t="s">
        <v>110</v>
      </c>
    </row>
  </sheetData>
  <mergeCells count="713">
    <mergeCell ref="C1:P1"/>
    <mergeCell ref="C3:D3"/>
    <mergeCell ref="H3:K3"/>
    <mergeCell ref="N3:P3"/>
    <mergeCell ref="C5:D5"/>
    <mergeCell ref="H5:I5"/>
    <mergeCell ref="N5:O5"/>
    <mergeCell ref="C6:D6"/>
    <mergeCell ref="H6:I6"/>
    <mergeCell ref="N6:O6"/>
    <mergeCell ref="C7:D7"/>
    <mergeCell ref="H7:I7"/>
    <mergeCell ref="N7:O7"/>
    <mergeCell ref="H8:I8"/>
    <mergeCell ref="N8:O8"/>
    <mergeCell ref="H9:I9"/>
    <mergeCell ref="N9:O9"/>
    <mergeCell ref="N10:O10"/>
    <mergeCell ref="N11:O11"/>
    <mergeCell ref="B13:I13"/>
    <mergeCell ref="J13:Q13"/>
    <mergeCell ref="C15:D15"/>
    <mergeCell ref="E15:F15"/>
    <mergeCell ref="G15:H15"/>
    <mergeCell ref="J15:K15"/>
    <mergeCell ref="L15:M15"/>
    <mergeCell ref="N15:O15"/>
    <mergeCell ref="C16:D16"/>
    <mergeCell ref="E16:F16"/>
    <mergeCell ref="G16:H16"/>
    <mergeCell ref="J16:K16"/>
    <mergeCell ref="L16:M16"/>
    <mergeCell ref="N16:O16"/>
    <mergeCell ref="H18:K18"/>
    <mergeCell ref="H20:K20"/>
    <mergeCell ref="H22:K22"/>
    <mergeCell ref="H23:I23"/>
    <mergeCell ref="J23:K23"/>
    <mergeCell ref="H29:J29"/>
    <mergeCell ref="H30:J30"/>
    <mergeCell ref="H32:I32"/>
    <mergeCell ref="J32:K32"/>
    <mergeCell ref="I34:J34"/>
    <mergeCell ref="G36:H37"/>
    <mergeCell ref="I36:I37"/>
    <mergeCell ref="J36:J37"/>
    <mergeCell ref="K36:K37"/>
    <mergeCell ref="L36:L37"/>
    <mergeCell ref="G38:H38"/>
    <mergeCell ref="G39:H39"/>
    <mergeCell ref="G40:H40"/>
    <mergeCell ref="G41:H41"/>
    <mergeCell ref="G42:H42"/>
    <mergeCell ref="G43:H43"/>
    <mergeCell ref="G44:H44"/>
    <mergeCell ref="G45:H45"/>
    <mergeCell ref="G46:H46"/>
    <mergeCell ref="G47:H47"/>
    <mergeCell ref="E48:F48"/>
    <mergeCell ref="M48:N48"/>
    <mergeCell ref="C50:D51"/>
    <mergeCell ref="E50:E51"/>
    <mergeCell ref="F50:F51"/>
    <mergeCell ref="G50:G51"/>
    <mergeCell ref="H50:H51"/>
    <mergeCell ref="K50:L51"/>
    <mergeCell ref="M50:M51"/>
    <mergeCell ref="N50:N51"/>
    <mergeCell ref="O50:O51"/>
    <mergeCell ref="P50:P51"/>
    <mergeCell ref="C52:D52"/>
    <mergeCell ref="K52:L52"/>
    <mergeCell ref="C53:D53"/>
    <mergeCell ref="K53:L53"/>
    <mergeCell ref="C54:D54"/>
    <mergeCell ref="K54:L54"/>
    <mergeCell ref="C55:D55"/>
    <mergeCell ref="K55:L55"/>
    <mergeCell ref="C56:D56"/>
    <mergeCell ref="K56:L56"/>
    <mergeCell ref="C57:D57"/>
    <mergeCell ref="K57:L57"/>
    <mergeCell ref="C58:D58"/>
    <mergeCell ref="K58:L58"/>
    <mergeCell ref="C59:D59"/>
    <mergeCell ref="K59:L59"/>
    <mergeCell ref="C60:D60"/>
    <mergeCell ref="K60:L60"/>
    <mergeCell ref="C61:D61"/>
    <mergeCell ref="K61:L61"/>
    <mergeCell ref="H63:K63"/>
    <mergeCell ref="H65:K65"/>
    <mergeCell ref="H68:J68"/>
    <mergeCell ref="I70:J70"/>
    <mergeCell ref="G72:H73"/>
    <mergeCell ref="I72:I73"/>
    <mergeCell ref="J72:J73"/>
    <mergeCell ref="K72:K73"/>
    <mergeCell ref="L72:L73"/>
    <mergeCell ref="G74:H74"/>
    <mergeCell ref="G77:L77"/>
    <mergeCell ref="D79:F80"/>
    <mergeCell ref="G79:I80"/>
    <mergeCell ref="J79:K80"/>
    <mergeCell ref="L79:M80"/>
    <mergeCell ref="N79:O80"/>
    <mergeCell ref="P79:Q80"/>
    <mergeCell ref="B81:C82"/>
    <mergeCell ref="D81:F82"/>
    <mergeCell ref="G81:I82"/>
    <mergeCell ref="J81:K82"/>
    <mergeCell ref="L81:M82"/>
    <mergeCell ref="N81:O82"/>
    <mergeCell ref="P81:Q82"/>
    <mergeCell ref="B83:C84"/>
    <mergeCell ref="D83:F84"/>
    <mergeCell ref="G83:I84"/>
    <mergeCell ref="J83:K84"/>
    <mergeCell ref="L83:M84"/>
    <mergeCell ref="N83:O84"/>
    <mergeCell ref="P83:Q84"/>
    <mergeCell ref="G86:L86"/>
    <mergeCell ref="B88:D89"/>
    <mergeCell ref="E88:E89"/>
    <mergeCell ref="F88:H89"/>
    <mergeCell ref="I88:I89"/>
    <mergeCell ref="J88:P89"/>
    <mergeCell ref="Q88:Q89"/>
    <mergeCell ref="G90:J90"/>
    <mergeCell ref="B91:C92"/>
    <mergeCell ref="D91:E92"/>
    <mergeCell ref="F91:G92"/>
    <mergeCell ref="H91:I92"/>
    <mergeCell ref="J91:K92"/>
    <mergeCell ref="L91:M92"/>
    <mergeCell ref="N91:O92"/>
    <mergeCell ref="P91:Q92"/>
    <mergeCell ref="B93:C93"/>
    <mergeCell ref="D93:E93"/>
    <mergeCell ref="F93:G93"/>
    <mergeCell ref="H93:I93"/>
    <mergeCell ref="J93:K93"/>
    <mergeCell ref="L93:M93"/>
    <mergeCell ref="N93:O93"/>
    <mergeCell ref="P93:Q93"/>
    <mergeCell ref="B94:C94"/>
    <mergeCell ref="D94:E94"/>
    <mergeCell ref="F94:G94"/>
    <mergeCell ref="H94:I94"/>
    <mergeCell ref="J94:K94"/>
    <mergeCell ref="L94:M94"/>
    <mergeCell ref="N94:O94"/>
    <mergeCell ref="P94:Q94"/>
    <mergeCell ref="B95:C95"/>
    <mergeCell ref="D95:E95"/>
    <mergeCell ref="F95:G95"/>
    <mergeCell ref="H95:I95"/>
    <mergeCell ref="J95:K95"/>
    <mergeCell ref="L95:M95"/>
    <mergeCell ref="N95:O95"/>
    <mergeCell ref="P95:Q95"/>
    <mergeCell ref="B96:C96"/>
    <mergeCell ref="D96:E96"/>
    <mergeCell ref="F96:G96"/>
    <mergeCell ref="H96:I96"/>
    <mergeCell ref="J96:K96"/>
    <mergeCell ref="L96:M96"/>
    <mergeCell ref="N96:O96"/>
    <mergeCell ref="P96:Q96"/>
    <mergeCell ref="B97:C97"/>
    <mergeCell ref="D97:E97"/>
    <mergeCell ref="F97:G97"/>
    <mergeCell ref="H97:I97"/>
    <mergeCell ref="J97:K97"/>
    <mergeCell ref="L97:M97"/>
    <mergeCell ref="N97:O97"/>
    <mergeCell ref="P97:Q97"/>
    <mergeCell ref="B98:C98"/>
    <mergeCell ref="D98:E98"/>
    <mergeCell ref="F98:G98"/>
    <mergeCell ref="H98:I98"/>
    <mergeCell ref="J98:K98"/>
    <mergeCell ref="L98:M98"/>
    <mergeCell ref="N98:O98"/>
    <mergeCell ref="P98:Q98"/>
    <mergeCell ref="B99:C99"/>
    <mergeCell ref="D99:E99"/>
    <mergeCell ref="F99:G99"/>
    <mergeCell ref="H99:I99"/>
    <mergeCell ref="J99:K99"/>
    <mergeCell ref="L99:M99"/>
    <mergeCell ref="N99:O99"/>
    <mergeCell ref="P99:Q99"/>
    <mergeCell ref="B100:C100"/>
    <mergeCell ref="D100:E100"/>
    <mergeCell ref="F100:G100"/>
    <mergeCell ref="H100:I100"/>
    <mergeCell ref="J100:K100"/>
    <mergeCell ref="L100:M100"/>
    <mergeCell ref="N100:O100"/>
    <mergeCell ref="P100:Q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B103:C103"/>
    <mergeCell ref="D103:E103"/>
    <mergeCell ref="F103:G103"/>
    <mergeCell ref="H103:I103"/>
    <mergeCell ref="J103:K103"/>
    <mergeCell ref="L103:M103"/>
    <mergeCell ref="N103:O103"/>
    <mergeCell ref="P103:Q103"/>
    <mergeCell ref="B104:C104"/>
    <mergeCell ref="D104:E104"/>
    <mergeCell ref="F104:G104"/>
    <mergeCell ref="H104:I104"/>
    <mergeCell ref="J104:K104"/>
    <mergeCell ref="L104:M104"/>
    <mergeCell ref="N104:O104"/>
    <mergeCell ref="P104:Q104"/>
    <mergeCell ref="B105:C105"/>
    <mergeCell ref="D105:E105"/>
    <mergeCell ref="F105:G105"/>
    <mergeCell ref="H105:I105"/>
    <mergeCell ref="J105:K105"/>
    <mergeCell ref="L105:M105"/>
    <mergeCell ref="N105:O105"/>
    <mergeCell ref="P105:Q105"/>
    <mergeCell ref="B106:C106"/>
    <mergeCell ref="D106:E106"/>
    <mergeCell ref="F106:G106"/>
    <mergeCell ref="H106:I106"/>
    <mergeCell ref="J106:K106"/>
    <mergeCell ref="L106:M106"/>
    <mergeCell ref="N106:O106"/>
    <mergeCell ref="P106:Q106"/>
    <mergeCell ref="B107:C107"/>
    <mergeCell ref="D107:E107"/>
    <mergeCell ref="F107:G107"/>
    <mergeCell ref="H107:I107"/>
    <mergeCell ref="J107:K107"/>
    <mergeCell ref="L107:M107"/>
    <mergeCell ref="N107:O107"/>
    <mergeCell ref="P107:Q107"/>
    <mergeCell ref="B108:C108"/>
    <mergeCell ref="D108:E108"/>
    <mergeCell ref="F108:G108"/>
    <mergeCell ref="H108:I108"/>
    <mergeCell ref="J108:K108"/>
    <mergeCell ref="L108:M108"/>
    <mergeCell ref="N108:O108"/>
    <mergeCell ref="P108:Q108"/>
    <mergeCell ref="B109:C109"/>
    <mergeCell ref="D109:E109"/>
    <mergeCell ref="F109:G109"/>
    <mergeCell ref="H109:I109"/>
    <mergeCell ref="J109:K109"/>
    <mergeCell ref="L109:M109"/>
    <mergeCell ref="N109:O109"/>
    <mergeCell ref="P109:Q109"/>
    <mergeCell ref="B110:C110"/>
    <mergeCell ref="D110:E110"/>
    <mergeCell ref="F110:G110"/>
    <mergeCell ref="H110:I110"/>
    <mergeCell ref="J110:K110"/>
    <mergeCell ref="L110:M110"/>
    <mergeCell ref="N110:O110"/>
    <mergeCell ref="P110:Q110"/>
    <mergeCell ref="B111:C111"/>
    <mergeCell ref="D111:E111"/>
    <mergeCell ref="F111:G111"/>
    <mergeCell ref="H111:I111"/>
    <mergeCell ref="J111:K111"/>
    <mergeCell ref="L111:M111"/>
    <mergeCell ref="N111:O111"/>
    <mergeCell ref="P111:Q111"/>
    <mergeCell ref="B112:C112"/>
    <mergeCell ref="D112:E112"/>
    <mergeCell ref="F112:G112"/>
    <mergeCell ref="H112:I112"/>
    <mergeCell ref="J112:K112"/>
    <mergeCell ref="L112:M112"/>
    <mergeCell ref="N112:O112"/>
    <mergeCell ref="P112:Q112"/>
    <mergeCell ref="B113:C113"/>
    <mergeCell ref="D113:E113"/>
    <mergeCell ref="F113:G113"/>
    <mergeCell ref="H113:I113"/>
    <mergeCell ref="J113:K113"/>
    <mergeCell ref="L113:M113"/>
    <mergeCell ref="N113:O113"/>
    <mergeCell ref="P113:Q113"/>
    <mergeCell ref="B114:C114"/>
    <mergeCell ref="D114:E114"/>
    <mergeCell ref="F114:G114"/>
    <mergeCell ref="H114:I114"/>
    <mergeCell ref="J114:K114"/>
    <mergeCell ref="L114:M114"/>
    <mergeCell ref="N114:O114"/>
    <mergeCell ref="P114:Q114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B116:C116"/>
    <mergeCell ref="D116:E116"/>
    <mergeCell ref="F116:G116"/>
    <mergeCell ref="H116:I116"/>
    <mergeCell ref="J116:K116"/>
    <mergeCell ref="L116:M116"/>
    <mergeCell ref="N116:O116"/>
    <mergeCell ref="P116:Q116"/>
    <mergeCell ref="B117:C117"/>
    <mergeCell ref="D117:E117"/>
    <mergeCell ref="F117:G117"/>
    <mergeCell ref="H117:I117"/>
    <mergeCell ref="J117:K117"/>
    <mergeCell ref="L117:M117"/>
    <mergeCell ref="N117:O117"/>
    <mergeCell ref="P117:Q117"/>
    <mergeCell ref="B118:C118"/>
    <mergeCell ref="D118:E118"/>
    <mergeCell ref="F118:G118"/>
    <mergeCell ref="H118:I118"/>
    <mergeCell ref="J118:K118"/>
    <mergeCell ref="L118:M118"/>
    <mergeCell ref="N118:O118"/>
    <mergeCell ref="P118:Q118"/>
    <mergeCell ref="B119:C119"/>
    <mergeCell ref="D119:E119"/>
    <mergeCell ref="F119:G119"/>
    <mergeCell ref="H119:I119"/>
    <mergeCell ref="J119:K119"/>
    <mergeCell ref="L119:M119"/>
    <mergeCell ref="N119:O119"/>
    <mergeCell ref="P119:Q119"/>
    <mergeCell ref="B120:C120"/>
    <mergeCell ref="D120:E120"/>
    <mergeCell ref="F120:G120"/>
    <mergeCell ref="H120:I120"/>
    <mergeCell ref="J120:K120"/>
    <mergeCell ref="L120:M120"/>
    <mergeCell ref="N120:O120"/>
    <mergeCell ref="P120:Q120"/>
    <mergeCell ref="B121:C121"/>
    <mergeCell ref="D121:E121"/>
    <mergeCell ref="F121:G121"/>
    <mergeCell ref="H121:I121"/>
    <mergeCell ref="J121:K121"/>
    <mergeCell ref="L121:M121"/>
    <mergeCell ref="N121:O121"/>
    <mergeCell ref="P121:Q121"/>
    <mergeCell ref="B122:C122"/>
    <mergeCell ref="D122:E122"/>
    <mergeCell ref="F122:G122"/>
    <mergeCell ref="H122:I122"/>
    <mergeCell ref="J122:K122"/>
    <mergeCell ref="L122:M122"/>
    <mergeCell ref="N122:O122"/>
    <mergeCell ref="P122:Q122"/>
    <mergeCell ref="B123:C123"/>
    <mergeCell ref="D123:E123"/>
    <mergeCell ref="F123:G123"/>
    <mergeCell ref="H123:I123"/>
    <mergeCell ref="J123:K123"/>
    <mergeCell ref="L123:M123"/>
    <mergeCell ref="N123:O123"/>
    <mergeCell ref="P123:Q123"/>
    <mergeCell ref="B124:C124"/>
    <mergeCell ref="D124:E124"/>
    <mergeCell ref="F124:G124"/>
    <mergeCell ref="H124:I124"/>
    <mergeCell ref="J124:K124"/>
    <mergeCell ref="L124:M124"/>
    <mergeCell ref="N124:O124"/>
    <mergeCell ref="P124:Q124"/>
    <mergeCell ref="B125:C125"/>
    <mergeCell ref="D125:E125"/>
    <mergeCell ref="F125:G125"/>
    <mergeCell ref="H125:I125"/>
    <mergeCell ref="J125:K125"/>
    <mergeCell ref="L125:M125"/>
    <mergeCell ref="N125:O125"/>
    <mergeCell ref="P125:Q125"/>
    <mergeCell ref="B126:C126"/>
    <mergeCell ref="D126:E126"/>
    <mergeCell ref="F126:G126"/>
    <mergeCell ref="H126:I126"/>
    <mergeCell ref="J126:K126"/>
    <mergeCell ref="L126:M126"/>
    <mergeCell ref="N126:O126"/>
    <mergeCell ref="P126:Q126"/>
    <mergeCell ref="B127:C127"/>
    <mergeCell ref="D127:E127"/>
    <mergeCell ref="F127:G127"/>
    <mergeCell ref="H127:I127"/>
    <mergeCell ref="J127:K127"/>
    <mergeCell ref="L127:M127"/>
    <mergeCell ref="N127:O127"/>
    <mergeCell ref="P127:Q127"/>
    <mergeCell ref="B128:C128"/>
    <mergeCell ref="D128:E128"/>
    <mergeCell ref="F128:G128"/>
    <mergeCell ref="H128:I128"/>
    <mergeCell ref="J128:K128"/>
    <mergeCell ref="L128:M128"/>
    <mergeCell ref="N128:O128"/>
    <mergeCell ref="P128:Q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B130:C130"/>
    <mergeCell ref="D130:E130"/>
    <mergeCell ref="F130:G130"/>
    <mergeCell ref="H130:I130"/>
    <mergeCell ref="J130:K130"/>
    <mergeCell ref="L130:M130"/>
    <mergeCell ref="N130:O130"/>
    <mergeCell ref="P130:Q130"/>
    <mergeCell ref="B131:C131"/>
    <mergeCell ref="D131:E131"/>
    <mergeCell ref="F131:G131"/>
    <mergeCell ref="H131:I131"/>
    <mergeCell ref="J131:K131"/>
    <mergeCell ref="L131:M131"/>
    <mergeCell ref="N131:O131"/>
    <mergeCell ref="P131:Q131"/>
    <mergeCell ref="B132:C132"/>
    <mergeCell ref="D132:E132"/>
    <mergeCell ref="F132:G132"/>
    <mergeCell ref="H132:I132"/>
    <mergeCell ref="J132:K132"/>
    <mergeCell ref="L132:M132"/>
    <mergeCell ref="N132:O132"/>
    <mergeCell ref="P132:Q132"/>
    <mergeCell ref="B133:C133"/>
    <mergeCell ref="D133:E133"/>
    <mergeCell ref="F133:G133"/>
    <mergeCell ref="H133:I133"/>
    <mergeCell ref="J133:K133"/>
    <mergeCell ref="L133:M133"/>
    <mergeCell ref="N133:O133"/>
    <mergeCell ref="P133:Q133"/>
    <mergeCell ref="B134:C134"/>
    <mergeCell ref="D134:E134"/>
    <mergeCell ref="F134:G134"/>
    <mergeCell ref="H134:I134"/>
    <mergeCell ref="J134:K134"/>
    <mergeCell ref="L134:M134"/>
    <mergeCell ref="N134:O134"/>
    <mergeCell ref="P134:Q134"/>
    <mergeCell ref="B135:C135"/>
    <mergeCell ref="D135:E135"/>
    <mergeCell ref="F135:G135"/>
    <mergeCell ref="H135:I135"/>
    <mergeCell ref="J135:K135"/>
    <mergeCell ref="L135:M135"/>
    <mergeCell ref="N135:O135"/>
    <mergeCell ref="P135:Q135"/>
    <mergeCell ref="B136:C136"/>
    <mergeCell ref="D136:E136"/>
    <mergeCell ref="F136:G136"/>
    <mergeCell ref="H136:I136"/>
    <mergeCell ref="J136:K136"/>
    <mergeCell ref="L136:M136"/>
    <mergeCell ref="N136:O136"/>
    <mergeCell ref="P136:Q136"/>
    <mergeCell ref="B137:C137"/>
    <mergeCell ref="D137:E137"/>
    <mergeCell ref="F137:G137"/>
    <mergeCell ref="H137:I137"/>
    <mergeCell ref="J137:K137"/>
    <mergeCell ref="L137:M137"/>
    <mergeCell ref="N137:O137"/>
    <mergeCell ref="P137:Q137"/>
    <mergeCell ref="B138:C138"/>
    <mergeCell ref="D138:E138"/>
    <mergeCell ref="F138:G138"/>
    <mergeCell ref="H138:I138"/>
    <mergeCell ref="J138:K138"/>
    <mergeCell ref="L138:M138"/>
    <mergeCell ref="N138:O138"/>
    <mergeCell ref="P138:Q138"/>
    <mergeCell ref="B139:C139"/>
    <mergeCell ref="D139:E139"/>
    <mergeCell ref="F139:G139"/>
    <mergeCell ref="H139:I139"/>
    <mergeCell ref="J139:K139"/>
    <mergeCell ref="L139:M139"/>
    <mergeCell ref="N139:O139"/>
    <mergeCell ref="P139:Q139"/>
    <mergeCell ref="B140:C140"/>
    <mergeCell ref="D140:E140"/>
    <mergeCell ref="F140:G140"/>
    <mergeCell ref="H140:I140"/>
    <mergeCell ref="J140:K140"/>
    <mergeCell ref="L140:M140"/>
    <mergeCell ref="N140:O140"/>
    <mergeCell ref="P140:Q140"/>
    <mergeCell ref="B141:C141"/>
    <mergeCell ref="D141:E141"/>
    <mergeCell ref="F141:G141"/>
    <mergeCell ref="H141:I141"/>
    <mergeCell ref="J141:K141"/>
    <mergeCell ref="L141:M141"/>
    <mergeCell ref="N141:O141"/>
    <mergeCell ref="P141:Q141"/>
    <mergeCell ref="B142:C142"/>
    <mergeCell ref="D142:E142"/>
    <mergeCell ref="F142:G142"/>
    <mergeCell ref="H142:I142"/>
    <mergeCell ref="J142:K142"/>
    <mergeCell ref="L142:M142"/>
    <mergeCell ref="N142:O142"/>
    <mergeCell ref="P142:Q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B144:C144"/>
    <mergeCell ref="D144:E144"/>
    <mergeCell ref="F144:G144"/>
    <mergeCell ref="H144:I144"/>
    <mergeCell ref="J144:K144"/>
    <mergeCell ref="L144:M144"/>
    <mergeCell ref="N144:O144"/>
    <mergeCell ref="P144:Q144"/>
    <mergeCell ref="B145:C145"/>
    <mergeCell ref="D145:E145"/>
    <mergeCell ref="F145:G145"/>
    <mergeCell ref="H145:I145"/>
    <mergeCell ref="J145:K145"/>
    <mergeCell ref="L145:M145"/>
    <mergeCell ref="N145:O145"/>
    <mergeCell ref="P145:Q145"/>
    <mergeCell ref="B146:C146"/>
    <mergeCell ref="D146:E146"/>
    <mergeCell ref="F146:G146"/>
    <mergeCell ref="H146:I146"/>
    <mergeCell ref="J146:K146"/>
    <mergeCell ref="L146:M146"/>
    <mergeCell ref="N146:O146"/>
    <mergeCell ref="P146:Q146"/>
    <mergeCell ref="B147:C147"/>
    <mergeCell ref="D147:E147"/>
    <mergeCell ref="F147:G147"/>
    <mergeCell ref="H147:I147"/>
    <mergeCell ref="J147:K147"/>
    <mergeCell ref="L147:M147"/>
    <mergeCell ref="N147:O147"/>
    <mergeCell ref="P147:Q147"/>
    <mergeCell ref="B148:C148"/>
    <mergeCell ref="D148:E148"/>
    <mergeCell ref="F148:G148"/>
    <mergeCell ref="H148:I148"/>
    <mergeCell ref="J148:K148"/>
    <mergeCell ref="L148:M148"/>
    <mergeCell ref="N148:O148"/>
    <mergeCell ref="P148:Q148"/>
    <mergeCell ref="B149:C149"/>
    <mergeCell ref="D149:E149"/>
    <mergeCell ref="F149:G149"/>
    <mergeCell ref="H149:I149"/>
    <mergeCell ref="J149:K149"/>
    <mergeCell ref="L149:M149"/>
    <mergeCell ref="N149:O149"/>
    <mergeCell ref="P149:Q149"/>
    <mergeCell ref="B150:C150"/>
    <mergeCell ref="D150:E150"/>
    <mergeCell ref="F150:G150"/>
    <mergeCell ref="H150:I150"/>
    <mergeCell ref="J150:K150"/>
    <mergeCell ref="L150:M150"/>
    <mergeCell ref="N150:O150"/>
    <mergeCell ref="P150:Q150"/>
    <mergeCell ref="B151:C151"/>
    <mergeCell ref="D151:E151"/>
    <mergeCell ref="F151:G151"/>
    <mergeCell ref="H151:I151"/>
    <mergeCell ref="J151:K151"/>
    <mergeCell ref="L151:M151"/>
    <mergeCell ref="N151:O151"/>
    <mergeCell ref="P151:Q151"/>
    <mergeCell ref="B152:C152"/>
    <mergeCell ref="D152:E152"/>
    <mergeCell ref="F152:G152"/>
    <mergeCell ref="H152:I152"/>
    <mergeCell ref="J152:K152"/>
    <mergeCell ref="L152:M152"/>
    <mergeCell ref="N152:O152"/>
    <mergeCell ref="P152:Q152"/>
    <mergeCell ref="B153:C153"/>
    <mergeCell ref="D153:E153"/>
    <mergeCell ref="F153:G153"/>
    <mergeCell ref="H153:I153"/>
    <mergeCell ref="J153:K153"/>
    <mergeCell ref="L153:M153"/>
    <mergeCell ref="N153:O153"/>
    <mergeCell ref="P153:Q153"/>
    <mergeCell ref="B154:C154"/>
    <mergeCell ref="D154:E154"/>
    <mergeCell ref="F154:G154"/>
    <mergeCell ref="H154:I154"/>
    <mergeCell ref="J154:K154"/>
    <mergeCell ref="L154:M154"/>
    <mergeCell ref="N154:O154"/>
    <mergeCell ref="P154:Q154"/>
    <mergeCell ref="B155:C155"/>
    <mergeCell ref="D155:E155"/>
    <mergeCell ref="F155:G155"/>
    <mergeCell ref="H155:I155"/>
    <mergeCell ref="J155:K155"/>
    <mergeCell ref="L155:M155"/>
    <mergeCell ref="N155:O155"/>
    <mergeCell ref="P155:Q155"/>
    <mergeCell ref="B156:C156"/>
    <mergeCell ref="D156:E156"/>
    <mergeCell ref="F156:G156"/>
    <mergeCell ref="H156:I156"/>
    <mergeCell ref="J156:K156"/>
    <mergeCell ref="L156:M156"/>
    <mergeCell ref="N156:O156"/>
    <mergeCell ref="P156:Q156"/>
    <mergeCell ref="B157:C157"/>
    <mergeCell ref="D157:E157"/>
    <mergeCell ref="F157:G157"/>
    <mergeCell ref="H157:I157"/>
    <mergeCell ref="J157:K157"/>
    <mergeCell ref="L157:M157"/>
    <mergeCell ref="N157:O157"/>
    <mergeCell ref="P157:Q157"/>
    <mergeCell ref="B158:C158"/>
    <mergeCell ref="D158:E158"/>
    <mergeCell ref="F158:G158"/>
    <mergeCell ref="H158:I158"/>
    <mergeCell ref="J158:K158"/>
    <mergeCell ref="L158:M158"/>
    <mergeCell ref="N158:O158"/>
    <mergeCell ref="P158:Q158"/>
    <mergeCell ref="B159:C159"/>
    <mergeCell ref="D159:E159"/>
    <mergeCell ref="F159:G159"/>
    <mergeCell ref="H159:I159"/>
    <mergeCell ref="J159:K159"/>
    <mergeCell ref="L159:M159"/>
    <mergeCell ref="N159:O159"/>
    <mergeCell ref="P159:Q159"/>
    <mergeCell ref="B160:C160"/>
    <mergeCell ref="D160:E160"/>
    <mergeCell ref="F160:G160"/>
    <mergeCell ref="H160:I160"/>
    <mergeCell ref="J160:K160"/>
    <mergeCell ref="L160:M160"/>
    <mergeCell ref="N160:O160"/>
    <mergeCell ref="P160:Q160"/>
    <mergeCell ref="B161:C161"/>
    <mergeCell ref="D161:E161"/>
    <mergeCell ref="F161:G161"/>
    <mergeCell ref="H161:I161"/>
    <mergeCell ref="J161:K161"/>
    <mergeCell ref="L161:M161"/>
    <mergeCell ref="N161:O161"/>
    <mergeCell ref="P161:Q161"/>
    <mergeCell ref="B162:C162"/>
    <mergeCell ref="D162:E162"/>
    <mergeCell ref="F162:G162"/>
    <mergeCell ref="H162:I162"/>
    <mergeCell ref="J162:K162"/>
    <mergeCell ref="L162:M162"/>
    <mergeCell ref="N162:O162"/>
    <mergeCell ref="P162:Q162"/>
    <mergeCell ref="B163:C163"/>
    <mergeCell ref="D163:E163"/>
    <mergeCell ref="F163:G163"/>
    <mergeCell ref="H163:I163"/>
    <mergeCell ref="J163:K163"/>
    <mergeCell ref="L163:M163"/>
    <mergeCell ref="N163:O163"/>
    <mergeCell ref="P163:Q163"/>
    <mergeCell ref="B164:C164"/>
    <mergeCell ref="D164:E164"/>
    <mergeCell ref="F164:G164"/>
    <mergeCell ref="H164:I164"/>
    <mergeCell ref="J164:K164"/>
    <mergeCell ref="L164:M164"/>
    <mergeCell ref="N164:O164"/>
    <mergeCell ref="P164:Q164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268"/>
  <sheetViews>
    <sheetView colorId="64" defaultGridColor="true" rightToLeft="false" showFormulas="false" showGridLines="true" showOutlineSymbols="true" showRowColHeaders="true" showZeros="true" tabSelected="true" topLeftCell="E95" view="normal" windowProtection="false" workbookViewId="0" zoomScale="100" zoomScaleNormal="100" zoomScalePageLayoutView="100">
      <pane activePane="topLeft" topLeftCell="A95" xSplit="0" ySplit="-1"/>
      <selection activeCell="L107" activeCellId="0" pane="topLeft" sqref="L107"/>
      <selection activeCell="E95" activeCellId="0" pane="bottomLeft" sqref="E95"/>
    </sheetView>
  </sheetViews>
  <cols>
    <col collapsed="false" hidden="false" max="1025" min="1" style="1" width="9.18039215686274"/>
  </cols>
  <sheetData>
    <row collapsed="false" customFormat="false" customHeight="true" hidden="false" ht="12.6" outlineLevel="0" r="1">
      <c r="C1" s="54" t="s">
        <v>111</v>
      </c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collapsed="false" customFormat="false" customHeight="true" hidden="false" ht="12.6" outlineLevel="0" r="2">
      <c r="D2" s="73"/>
      <c r="E2" s="73"/>
      <c r="F2" s="73"/>
      <c r="G2" s="74"/>
      <c r="H2" s="74"/>
      <c r="I2" s="74"/>
      <c r="J2" s="74"/>
      <c r="K2" s="74"/>
      <c r="L2" s="74"/>
      <c r="M2" s="74"/>
      <c r="N2" s="74"/>
    </row>
    <row collapsed="false" customFormat="false" customHeight="true" hidden="false" ht="12.6" outlineLevel="0" r="3">
      <c r="B3" s="10"/>
      <c r="C3" s="53" t="s">
        <v>2</v>
      </c>
      <c r="D3" s="53"/>
      <c r="E3" s="75" t="n">
        <v>802.11</v>
      </c>
      <c r="F3" s="76"/>
      <c r="G3" s="77"/>
      <c r="H3" s="9" t="s">
        <v>3</v>
      </c>
      <c r="I3" s="9"/>
      <c r="J3" s="9"/>
      <c r="K3" s="9"/>
      <c r="L3" s="76"/>
      <c r="M3" s="10"/>
      <c r="N3" s="9" t="s">
        <v>4</v>
      </c>
      <c r="O3" s="9"/>
      <c r="P3" s="9"/>
      <c r="Q3" s="78"/>
    </row>
    <row collapsed="false" customFormat="false" customHeight="true" hidden="false" ht="12.6" outlineLevel="0" r="4">
      <c r="B4" s="15"/>
      <c r="C4" s="3"/>
      <c r="D4" s="3"/>
      <c r="E4" s="13"/>
      <c r="F4" s="14"/>
      <c r="G4" s="15"/>
      <c r="H4" s="59"/>
      <c r="I4" s="59"/>
      <c r="J4" s="59"/>
      <c r="K4" s="59"/>
      <c r="L4" s="79"/>
      <c r="M4" s="15"/>
      <c r="N4" s="3"/>
      <c r="O4" s="3"/>
      <c r="P4" s="3"/>
      <c r="Q4" s="14"/>
    </row>
    <row collapsed="false" customFormat="false" customHeight="true" hidden="false" ht="12.6" outlineLevel="0" r="5">
      <c r="B5" s="15"/>
      <c r="C5" s="59" t="s">
        <v>7</v>
      </c>
      <c r="D5" s="59"/>
      <c r="E5" s="63" t="s">
        <v>112</v>
      </c>
      <c r="F5" s="14"/>
      <c r="G5" s="19" t="s">
        <v>8</v>
      </c>
      <c r="H5" s="20" t="s">
        <v>1</v>
      </c>
      <c r="I5" s="20"/>
      <c r="J5" s="21" t="s">
        <v>9</v>
      </c>
      <c r="K5" s="20" t="s">
        <v>10</v>
      </c>
      <c r="L5" s="22" t="s">
        <v>11</v>
      </c>
      <c r="M5" s="15"/>
      <c r="N5" s="59" t="s">
        <v>12</v>
      </c>
      <c r="O5" s="59"/>
      <c r="P5" s="63" t="n">
        <v>2</v>
      </c>
      <c r="Q5" s="14"/>
    </row>
    <row collapsed="false" customFormat="false" customHeight="true" hidden="false" ht="12.6" outlineLevel="0" r="6">
      <c r="B6" s="15"/>
      <c r="C6" s="59" t="s">
        <v>14</v>
      </c>
      <c r="D6" s="59"/>
      <c r="E6" s="63" t="n">
        <v>2.4</v>
      </c>
      <c r="F6" s="14"/>
      <c r="G6" s="23" t="s">
        <v>19</v>
      </c>
      <c r="H6" s="16" t="s">
        <v>20</v>
      </c>
      <c r="I6" s="16"/>
      <c r="J6" s="24" t="n">
        <v>3</v>
      </c>
      <c r="K6" s="25" t="n">
        <f aca="false">$J6</f>
        <v>3</v>
      </c>
      <c r="L6" s="26" t="n">
        <f aca="false">$J6</f>
        <v>3</v>
      </c>
      <c r="M6" s="15"/>
      <c r="N6" s="59" t="s">
        <v>16</v>
      </c>
      <c r="O6" s="59"/>
      <c r="P6" s="63" t="n">
        <v>2</v>
      </c>
      <c r="Q6" s="14"/>
    </row>
    <row collapsed="false" customFormat="false" customHeight="true" hidden="false" ht="12.6" outlineLevel="0" r="7">
      <c r="B7" s="15"/>
      <c r="C7" s="59" t="s">
        <v>18</v>
      </c>
      <c r="D7" s="59"/>
      <c r="E7" s="63" t="s">
        <v>113</v>
      </c>
      <c r="F7" s="14"/>
      <c r="G7" s="23" t="s">
        <v>22</v>
      </c>
      <c r="H7" s="16" t="s">
        <v>23</v>
      </c>
      <c r="I7" s="16"/>
      <c r="J7" s="24" t="n">
        <v>5.5</v>
      </c>
      <c r="K7" s="25" t="n">
        <f aca="false">$J7 * 1.15</f>
        <v>6.325</v>
      </c>
      <c r="L7" s="26" t="n">
        <f aca="false">$J7 * 1.2</f>
        <v>6.6</v>
      </c>
      <c r="M7" s="15"/>
      <c r="N7" s="59" t="s">
        <v>21</v>
      </c>
      <c r="O7" s="59"/>
      <c r="P7" s="63" t="n">
        <v>2</v>
      </c>
      <c r="Q7" s="14"/>
    </row>
    <row collapsed="false" customFormat="false" customHeight="true" hidden="false" ht="12.6" outlineLevel="0" r="8">
      <c r="B8" s="15"/>
      <c r="C8" s="59"/>
      <c r="D8" s="27"/>
      <c r="E8" s="27"/>
      <c r="F8" s="14"/>
      <c r="G8" s="23" t="s">
        <v>26</v>
      </c>
      <c r="H8" s="16" t="s">
        <v>27</v>
      </c>
      <c r="I8" s="16"/>
      <c r="J8" s="24" t="n">
        <v>14</v>
      </c>
      <c r="K8" s="25" t="n">
        <f aca="false">$J8 * 1.25</f>
        <v>17.5</v>
      </c>
      <c r="L8" s="26" t="n">
        <f aca="false">$J8 * 1.3</f>
        <v>18.2</v>
      </c>
      <c r="M8" s="15"/>
      <c r="N8" s="59" t="s">
        <v>24</v>
      </c>
      <c r="O8" s="59"/>
      <c r="P8" s="63" t="n">
        <v>2</v>
      </c>
      <c r="Q8" s="14"/>
    </row>
    <row collapsed="false" customFormat="false" customHeight="true" hidden="false" ht="12.6" outlineLevel="0" r="9">
      <c r="B9" s="15"/>
      <c r="C9" s="59" t="s">
        <v>114</v>
      </c>
      <c r="D9" s="59"/>
      <c r="E9" s="80" t="s">
        <v>115</v>
      </c>
      <c r="F9" s="14"/>
      <c r="M9" s="15"/>
      <c r="N9" s="59" t="s">
        <v>28</v>
      </c>
      <c r="O9" s="59"/>
      <c r="P9" s="63" t="n">
        <v>2</v>
      </c>
      <c r="Q9" s="14"/>
    </row>
    <row collapsed="false" customFormat="false" customHeight="true" hidden="false" ht="12.6" outlineLevel="0" r="10">
      <c r="B10" s="15"/>
      <c r="C10" s="59" t="s">
        <v>116</v>
      </c>
      <c r="D10" s="59"/>
      <c r="E10" s="80" t="s">
        <v>117</v>
      </c>
      <c r="F10" s="14"/>
      <c r="G10" s="81"/>
      <c r="H10" s="82"/>
      <c r="I10" s="74"/>
      <c r="J10" s="74"/>
      <c r="K10" s="59"/>
      <c r="L10" s="83"/>
      <c r="M10" s="84"/>
      <c r="N10" s="59" t="s">
        <v>30</v>
      </c>
      <c r="O10" s="59"/>
      <c r="P10" s="63" t="n">
        <v>2</v>
      </c>
      <c r="Q10" s="14"/>
    </row>
    <row collapsed="false" customFormat="false" customHeight="true" hidden="false" ht="12.6" outlineLevel="0" r="11">
      <c r="B11" s="29"/>
      <c r="C11" s="85"/>
      <c r="D11" s="31"/>
      <c r="E11" s="31"/>
      <c r="F11" s="32"/>
      <c r="G11" s="29"/>
      <c r="H11" s="33"/>
      <c r="I11" s="33"/>
      <c r="J11" s="33"/>
      <c r="K11" s="85"/>
      <c r="L11" s="32"/>
      <c r="M11" s="86"/>
      <c r="N11" s="85" t="s">
        <v>32</v>
      </c>
      <c r="O11" s="85"/>
      <c r="P11" s="87" t="n">
        <v>4</v>
      </c>
      <c r="Q11" s="32"/>
    </row>
    <row collapsed="false" customFormat="false" customHeight="true" hidden="false" ht="12.6" outlineLevel="0" r="12">
      <c r="G12" s="3"/>
    </row>
    <row collapsed="false" customFormat="false" customHeight="true" hidden="false" ht="12.6" outlineLevel="0" r="13">
      <c r="B13" s="36" t="s">
        <v>35</v>
      </c>
      <c r="C13" s="36"/>
      <c r="D13" s="36"/>
      <c r="E13" s="36"/>
      <c r="F13" s="36"/>
      <c r="G13" s="36"/>
      <c r="H13" s="36"/>
      <c r="I13" s="36"/>
      <c r="J13" s="36" t="s">
        <v>36</v>
      </c>
      <c r="K13" s="36"/>
      <c r="L13" s="36"/>
      <c r="M13" s="36"/>
      <c r="N13" s="36"/>
      <c r="O13" s="36"/>
      <c r="P13" s="36"/>
      <c r="Q13" s="36"/>
    </row>
    <row collapsed="false" customFormat="false" customHeight="true" hidden="false" ht="12.6" outlineLevel="0" r="14">
      <c r="B14" s="15"/>
      <c r="C14" s="37"/>
      <c r="D14" s="37"/>
      <c r="E14" s="37"/>
      <c r="F14" s="37"/>
      <c r="G14" s="37"/>
      <c r="H14" s="37"/>
      <c r="I14" s="38"/>
      <c r="J14" s="37"/>
      <c r="K14" s="37"/>
      <c r="L14" s="37"/>
      <c r="M14" s="37"/>
      <c r="N14" s="37"/>
      <c r="O14" s="37"/>
      <c r="P14" s="37"/>
      <c r="Q14" s="14"/>
    </row>
    <row collapsed="false" customFormat="false" customHeight="true" hidden="false" ht="12.6" outlineLevel="0" r="15">
      <c r="B15" s="15"/>
      <c r="C15" s="88" t="s">
        <v>39</v>
      </c>
      <c r="D15" s="88"/>
      <c r="E15" s="88" t="s">
        <v>40</v>
      </c>
      <c r="F15" s="88"/>
      <c r="G15" s="88" t="s">
        <v>41</v>
      </c>
      <c r="H15" s="88"/>
      <c r="I15" s="17" t="s">
        <v>118</v>
      </c>
      <c r="J15" s="88" t="s">
        <v>39</v>
      </c>
      <c r="K15" s="88"/>
      <c r="L15" s="88" t="s">
        <v>40</v>
      </c>
      <c r="M15" s="88"/>
      <c r="N15" s="88" t="s">
        <v>41</v>
      </c>
      <c r="O15" s="88"/>
      <c r="P15" s="16" t="s">
        <v>118</v>
      </c>
      <c r="Q15" s="14"/>
    </row>
    <row collapsed="false" customFormat="false" customHeight="true" hidden="false" ht="12.6" outlineLevel="0" r="16">
      <c r="B16" s="29"/>
      <c r="C16" s="40" t="n">
        <v>0.5</v>
      </c>
      <c r="D16" s="40"/>
      <c r="E16" s="40" t="n">
        <v>1</v>
      </c>
      <c r="F16" s="40"/>
      <c r="G16" s="40" t="n">
        <v>2.9</v>
      </c>
      <c r="H16" s="40"/>
      <c r="I16" s="41" t="n">
        <f aca="false">$C16+$E16+$G16</f>
        <v>4.4</v>
      </c>
      <c r="J16" s="40" t="n">
        <v>0.5</v>
      </c>
      <c r="K16" s="40"/>
      <c r="L16" s="40" t="n">
        <v>1</v>
      </c>
      <c r="M16" s="40"/>
      <c r="N16" s="40" t="n">
        <v>0.7</v>
      </c>
      <c r="O16" s="40"/>
      <c r="P16" s="30" t="n">
        <f aca="false">$J16+$L16+$N16</f>
        <v>2.2</v>
      </c>
      <c r="Q16" s="32"/>
    </row>
    <row collapsed="false" customFormat="false" customHeight="true" hidden="false" ht="12.6" outlineLevel="0" r="17">
      <c r="B17" s="3"/>
      <c r="Q17" s="3"/>
    </row>
    <row collapsed="false" customFormat="false" customHeight="true" hidden="false" ht="12.6" outlineLevel="0" r="18">
      <c r="B18" s="10"/>
      <c r="C18" s="42"/>
      <c r="D18" s="42"/>
      <c r="E18" s="42"/>
      <c r="F18" s="42"/>
      <c r="G18" s="42"/>
      <c r="H18" s="53" t="s">
        <v>42</v>
      </c>
      <c r="I18" s="53"/>
      <c r="J18" s="53"/>
      <c r="K18" s="53"/>
      <c r="L18" s="42"/>
      <c r="M18" s="42"/>
      <c r="N18" s="42"/>
      <c r="O18" s="42"/>
      <c r="P18" s="42"/>
      <c r="Q18" s="43"/>
    </row>
    <row collapsed="false" customFormat="false" customHeight="true" hidden="false" ht="12.6" outlineLevel="0" r="19">
      <c r="B19" s="15"/>
      <c r="C19" s="3"/>
      <c r="D19" s="3"/>
      <c r="E19" s="3"/>
      <c r="F19" s="3"/>
      <c r="G19" s="3"/>
      <c r="H19" s="54"/>
      <c r="I19" s="54"/>
      <c r="J19" s="54"/>
      <c r="K19" s="54"/>
      <c r="L19" s="3"/>
      <c r="M19" s="3"/>
      <c r="N19" s="3"/>
      <c r="O19" s="3"/>
      <c r="P19" s="3"/>
      <c r="Q19" s="14"/>
    </row>
    <row collapsed="false" customFormat="false" customHeight="true" hidden="false" ht="12.6" outlineLevel="0" r="20">
      <c r="B20" s="15"/>
      <c r="C20" s="3"/>
      <c r="D20" s="3"/>
      <c r="E20" s="3"/>
      <c r="F20" s="3"/>
      <c r="G20" s="3"/>
      <c r="H20" s="54" t="s">
        <v>43</v>
      </c>
      <c r="I20" s="54"/>
      <c r="J20" s="54"/>
      <c r="K20" s="54"/>
      <c r="L20" s="3"/>
      <c r="M20" s="3"/>
      <c r="N20" s="3"/>
      <c r="O20" s="3"/>
      <c r="P20" s="3"/>
      <c r="Q20" s="14"/>
    </row>
    <row collapsed="false" customFormat="false" customHeight="true" hidden="false" ht="12.6" outlineLevel="0" r="21">
      <c r="B21" s="15"/>
      <c r="C21" s="3"/>
      <c r="D21" s="3"/>
      <c r="E21" s="3"/>
      <c r="F21" s="3"/>
      <c r="G21" s="3"/>
      <c r="H21" s="54"/>
      <c r="I21" s="54"/>
      <c r="J21" s="54"/>
      <c r="K21" s="54"/>
      <c r="L21" s="3"/>
      <c r="M21" s="3"/>
      <c r="N21" s="3"/>
      <c r="O21" s="3"/>
      <c r="P21" s="3"/>
      <c r="Q21" s="14"/>
    </row>
    <row collapsed="false" customFormat="false" customHeight="true" hidden="false" ht="12.6" outlineLevel="0" r="22">
      <c r="B22" s="15"/>
      <c r="C22" s="3"/>
      <c r="D22" s="3"/>
      <c r="E22" s="3"/>
      <c r="F22" s="3"/>
      <c r="G22" s="3"/>
      <c r="H22" s="37" t="s">
        <v>44</v>
      </c>
      <c r="I22" s="37"/>
      <c r="J22" s="37"/>
      <c r="K22" s="37"/>
      <c r="L22" s="3"/>
      <c r="M22" s="3"/>
      <c r="N22" s="3"/>
      <c r="O22" s="3"/>
      <c r="P22" s="3"/>
      <c r="Q22" s="14"/>
    </row>
    <row collapsed="false" customFormat="false" customHeight="true" hidden="false" ht="12.6" outlineLevel="0" r="23">
      <c r="B23" s="15"/>
      <c r="C23" s="3"/>
      <c r="D23" s="3"/>
      <c r="E23" s="3"/>
      <c r="F23" s="3"/>
      <c r="G23" s="3"/>
      <c r="H23" s="37" t="s">
        <v>46</v>
      </c>
      <c r="I23" s="37"/>
      <c r="J23" s="37" t="s">
        <v>47</v>
      </c>
      <c r="K23" s="37"/>
      <c r="L23" s="3"/>
      <c r="M23" s="3"/>
      <c r="N23" s="3"/>
      <c r="O23" s="3"/>
      <c r="P23" s="3"/>
      <c r="Q23" s="14"/>
    </row>
    <row collapsed="false" customFormat="false" customHeight="true" hidden="false" ht="12.6" outlineLevel="0" r="24">
      <c r="B24" s="15"/>
      <c r="C24" s="3"/>
      <c r="D24" s="3"/>
      <c r="E24" s="3"/>
      <c r="F24" s="3"/>
      <c r="G24" s="3"/>
      <c r="H24" s="37" t="s">
        <v>48</v>
      </c>
      <c r="I24" s="39" t="n">
        <v>16</v>
      </c>
      <c r="J24" s="37" t="s">
        <v>49</v>
      </c>
      <c r="K24" s="39" t="n">
        <v>6</v>
      </c>
      <c r="L24" s="3"/>
      <c r="M24" s="3"/>
      <c r="N24" s="3"/>
      <c r="O24" s="3"/>
      <c r="P24" s="3"/>
      <c r="Q24" s="14"/>
    </row>
    <row collapsed="false" customFormat="false" customHeight="true" hidden="false" ht="12.6" outlineLevel="0" r="25">
      <c r="B25" s="15"/>
      <c r="C25" s="3"/>
      <c r="D25" s="3"/>
      <c r="E25" s="3"/>
      <c r="F25" s="3"/>
      <c r="G25" s="3"/>
      <c r="H25" s="37" t="s">
        <v>50</v>
      </c>
      <c r="I25" s="39" t="n">
        <v>12</v>
      </c>
      <c r="J25" s="37" t="s">
        <v>51</v>
      </c>
      <c r="K25" s="39" t="n">
        <v>4</v>
      </c>
      <c r="L25" s="3"/>
      <c r="M25" s="3"/>
      <c r="N25" s="3"/>
      <c r="O25" s="3"/>
      <c r="P25" s="3"/>
      <c r="Q25" s="14"/>
    </row>
    <row collapsed="false" customFormat="false" customHeight="true" hidden="false" ht="12.6" outlineLevel="0" r="26">
      <c r="B26" s="15"/>
      <c r="C26" s="3"/>
      <c r="D26" s="3"/>
      <c r="E26" s="3"/>
      <c r="F26" s="3"/>
      <c r="G26" s="3"/>
      <c r="H26" s="37" t="s">
        <v>49</v>
      </c>
      <c r="I26" s="39" t="n">
        <v>8</v>
      </c>
      <c r="J26" s="37"/>
      <c r="K26" s="39"/>
      <c r="L26" s="3"/>
      <c r="M26" s="3"/>
      <c r="N26" s="3"/>
      <c r="O26" s="3"/>
      <c r="P26" s="3"/>
      <c r="Q26" s="14"/>
    </row>
    <row collapsed="false" customFormat="false" customHeight="true" hidden="false" ht="12.6" outlineLevel="0" r="27">
      <c r="B27" s="15"/>
      <c r="C27" s="3"/>
      <c r="D27" s="3"/>
      <c r="E27" s="3"/>
      <c r="F27" s="3"/>
      <c r="G27" s="3"/>
      <c r="H27" s="37" t="s">
        <v>51</v>
      </c>
      <c r="I27" s="39" t="n">
        <v>6</v>
      </c>
      <c r="J27" s="37"/>
      <c r="K27" s="39"/>
      <c r="L27" s="3"/>
      <c r="M27" s="3"/>
      <c r="N27" s="3"/>
      <c r="O27" s="3"/>
      <c r="P27" s="3"/>
      <c r="Q27" s="14"/>
    </row>
    <row collapsed="false" customFormat="false" customHeight="true" hidden="false" ht="12.6" outlineLevel="0" r="28">
      <c r="B28" s="15"/>
      <c r="C28" s="3"/>
      <c r="D28" s="3"/>
      <c r="E28" s="3"/>
      <c r="F28" s="3"/>
      <c r="G28" s="3"/>
      <c r="H28" s="39"/>
      <c r="I28" s="39"/>
      <c r="J28" s="39"/>
      <c r="K28" s="39"/>
      <c r="L28" s="3"/>
      <c r="M28" s="3"/>
      <c r="N28" s="3"/>
      <c r="O28" s="3"/>
      <c r="P28" s="3"/>
      <c r="Q28" s="14"/>
    </row>
    <row collapsed="false" customFormat="false" customHeight="true" hidden="false" ht="12.6" outlineLevel="0" r="29">
      <c r="B29" s="15"/>
      <c r="C29" s="3"/>
      <c r="D29" s="3"/>
      <c r="E29" s="3"/>
      <c r="F29" s="3"/>
      <c r="G29" s="3"/>
      <c r="H29" s="37" t="s">
        <v>52</v>
      </c>
      <c r="I29" s="37"/>
      <c r="J29" s="37"/>
      <c r="K29" s="39" t="n">
        <f aca="false">IF($P9 = 1, 0, IF($P7 = $P9, $P11, $P10))</f>
        <v>4</v>
      </c>
      <c r="L29" s="3"/>
      <c r="M29" s="3"/>
      <c r="N29" s="3"/>
      <c r="O29" s="3"/>
      <c r="P29" s="3"/>
      <c r="Q29" s="14"/>
    </row>
    <row collapsed="false" customFormat="false" customHeight="true" hidden="false" ht="12.6" outlineLevel="0" r="30">
      <c r="B30" s="15"/>
      <c r="C30" s="3"/>
      <c r="D30" s="3"/>
      <c r="E30" s="3"/>
      <c r="F30" s="3"/>
      <c r="G30" s="3"/>
      <c r="H30" s="37" t="s">
        <v>54</v>
      </c>
      <c r="I30" s="37"/>
      <c r="J30" s="37"/>
      <c r="K30" s="39" t="n">
        <f aca="false">IF($P5 = $P9, 0, IF($P7 = $P9, $P11, $P10))</f>
        <v>0</v>
      </c>
      <c r="L30" s="3"/>
      <c r="M30" s="3"/>
      <c r="N30" s="3"/>
      <c r="O30" s="3"/>
      <c r="P30" s="3"/>
      <c r="Q30" s="14"/>
    </row>
    <row collapsed="false" customFormat="false" customHeight="true" hidden="false" ht="12.6" outlineLevel="0" r="31">
      <c r="B31" s="15"/>
      <c r="C31" s="3"/>
      <c r="D31" s="3"/>
      <c r="E31" s="3"/>
      <c r="F31" s="3"/>
      <c r="G31" s="3"/>
      <c r="H31" s="39"/>
      <c r="I31" s="39"/>
      <c r="J31" s="39"/>
      <c r="K31" s="39"/>
      <c r="L31" s="3"/>
      <c r="M31" s="3"/>
      <c r="N31" s="3"/>
      <c r="O31" s="3"/>
      <c r="P31" s="3"/>
      <c r="Q31" s="14"/>
    </row>
    <row collapsed="false" customFormat="false" customHeight="true" hidden="false" ht="12.6" outlineLevel="0" r="32">
      <c r="B32" s="15"/>
      <c r="C32" s="3"/>
      <c r="D32" s="3"/>
      <c r="E32" s="3"/>
      <c r="F32" s="3"/>
      <c r="G32" s="3"/>
      <c r="H32" s="88" t="s">
        <v>56</v>
      </c>
      <c r="I32" s="88"/>
      <c r="J32" s="44" t="s">
        <v>119</v>
      </c>
      <c r="K32" s="44"/>
      <c r="L32" s="3"/>
      <c r="M32" s="3"/>
      <c r="N32" s="3"/>
      <c r="O32" s="3"/>
      <c r="P32" s="3"/>
      <c r="Q32" s="14"/>
    </row>
    <row collapsed="false" customFormat="false" customHeight="true" hidden="false" ht="12.6" outlineLevel="0" r="33">
      <c r="B33" s="15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14"/>
    </row>
    <row collapsed="false" customFormat="false" customHeight="true" hidden="false" ht="12.6" outlineLevel="0" r="34">
      <c r="B34" s="15"/>
      <c r="C34" s="3"/>
      <c r="D34" s="3"/>
      <c r="E34" s="3"/>
      <c r="F34" s="3"/>
      <c r="G34" s="45"/>
      <c r="H34" s="45"/>
      <c r="I34" s="46" t="s">
        <v>58</v>
      </c>
      <c r="J34" s="46"/>
      <c r="K34" s="45"/>
      <c r="L34" s="45"/>
      <c r="M34" s="3"/>
      <c r="N34" s="3"/>
      <c r="O34" s="3"/>
      <c r="P34" s="3"/>
      <c r="Q34" s="14"/>
    </row>
    <row collapsed="false" customFormat="false" customHeight="true" hidden="false" ht="12.6" outlineLevel="0" r="35">
      <c r="B35" s="15"/>
      <c r="C35" s="3"/>
      <c r="D35" s="3"/>
      <c r="E35" s="3"/>
      <c r="F35" s="3"/>
      <c r="G35" s="3"/>
      <c r="H35" s="3"/>
      <c r="I35" s="16"/>
      <c r="J35" s="16"/>
      <c r="K35" s="3"/>
      <c r="L35" s="3"/>
      <c r="M35" s="3"/>
      <c r="N35" s="3"/>
      <c r="O35" s="3"/>
      <c r="P35" s="3"/>
      <c r="Q35" s="14"/>
    </row>
    <row collapsed="false" customFormat="false" customHeight="true" hidden="false" ht="12.6" outlineLevel="0" r="36">
      <c r="B36" s="15"/>
      <c r="C36" s="3"/>
      <c r="D36" s="3"/>
      <c r="E36" s="3"/>
      <c r="F36" s="3"/>
      <c r="G36" s="37" t="s">
        <v>59</v>
      </c>
      <c r="H36" s="37"/>
      <c r="I36" s="54" t="s">
        <v>60</v>
      </c>
      <c r="J36" s="54" t="s">
        <v>61</v>
      </c>
      <c r="K36" s="37" t="s">
        <v>62</v>
      </c>
      <c r="L36" s="37" t="s">
        <v>63</v>
      </c>
      <c r="M36" s="3"/>
      <c r="N36" s="3"/>
      <c r="O36" s="3"/>
      <c r="P36" s="3"/>
      <c r="Q36" s="14"/>
    </row>
    <row collapsed="false" customFormat="false" customHeight="true" hidden="false" ht="12.6" outlineLevel="0" r="37">
      <c r="B37" s="15"/>
      <c r="C37" s="3"/>
      <c r="D37" s="3"/>
      <c r="E37" s="3"/>
      <c r="F37" s="3"/>
      <c r="G37" s="37"/>
      <c r="H37" s="37"/>
      <c r="I37" s="54"/>
      <c r="J37" s="54"/>
      <c r="K37" s="37"/>
      <c r="L37" s="37"/>
      <c r="M37" s="3"/>
      <c r="N37" s="3"/>
      <c r="O37" s="3"/>
      <c r="P37" s="3"/>
      <c r="Q37" s="14"/>
    </row>
    <row collapsed="false" customFormat="false" customHeight="true" hidden="false" ht="12.6" outlineLevel="0" r="38">
      <c r="B38" s="15"/>
      <c r="C38" s="3"/>
      <c r="D38" s="3"/>
      <c r="E38" s="3"/>
      <c r="F38" s="3"/>
      <c r="G38" s="25" t="n">
        <v>0.6</v>
      </c>
      <c r="H38" s="25"/>
      <c r="I38" s="47"/>
      <c r="J38" s="47"/>
      <c r="K38" s="25" t="str">
        <f aca="false">IF($I38 &gt; 0, IF($J38 &lt; 0, $I38 - $J38 - $K25 + $K29, " "), " ")</f>
        <v> </v>
      </c>
      <c r="L38" s="25" t="n">
        <v>1</v>
      </c>
      <c r="M38" s="3"/>
      <c r="N38" s="3"/>
      <c r="O38" s="3"/>
      <c r="P38" s="3"/>
      <c r="Q38" s="14"/>
    </row>
    <row collapsed="false" customFormat="false" customHeight="true" hidden="false" ht="12.6" outlineLevel="0" r="39">
      <c r="B39" s="15"/>
      <c r="C39" s="3"/>
      <c r="D39" s="3"/>
      <c r="E39" s="3"/>
      <c r="F39" s="3"/>
      <c r="G39" s="25" t="n">
        <v>0.6</v>
      </c>
      <c r="H39" s="25"/>
      <c r="I39" s="47"/>
      <c r="J39" s="47"/>
      <c r="K39" s="25" t="str">
        <f aca="false">IF($I39 &gt; 0, IF($J39 &lt; 0, $I39 - $J39 - $K24 + $K29, " "), " ")</f>
        <v> </v>
      </c>
      <c r="L39" s="25" t="n">
        <v>2</v>
      </c>
      <c r="M39" s="3"/>
      <c r="N39" s="3"/>
      <c r="O39" s="3"/>
      <c r="P39" s="3"/>
      <c r="Q39" s="14"/>
    </row>
    <row collapsed="false" customFormat="false" customHeight="true" hidden="false" ht="12.6" outlineLevel="0" r="40">
      <c r="B40" s="15"/>
      <c r="C40" s="3"/>
      <c r="D40" s="3"/>
      <c r="E40" s="3"/>
      <c r="F40" s="3"/>
      <c r="G40" s="25" t="n">
        <v>0.6</v>
      </c>
      <c r="H40" s="25"/>
      <c r="I40" s="47"/>
      <c r="J40" s="47"/>
      <c r="K40" s="25" t="str">
        <f aca="false">IF($I40 &gt; 0, IF($J40 &lt; 0, $I40 - $J40 - $K24 + $K29, " "), " ")</f>
        <v> </v>
      </c>
      <c r="L40" s="25" t="n">
        <v>5.5</v>
      </c>
      <c r="M40" s="3"/>
      <c r="N40" s="3"/>
      <c r="O40" s="3"/>
      <c r="P40" s="3"/>
      <c r="Q40" s="14"/>
    </row>
    <row collapsed="false" customFormat="false" customHeight="true" hidden="false" ht="12.6" outlineLevel="0" r="41">
      <c r="B41" s="15"/>
      <c r="C41" s="3"/>
      <c r="D41" s="3"/>
      <c r="E41" s="3"/>
      <c r="F41" s="3"/>
      <c r="G41" s="25" t="n">
        <v>0.6</v>
      </c>
      <c r="H41" s="25"/>
      <c r="I41" s="47"/>
      <c r="J41" s="47"/>
      <c r="K41" s="25" t="str">
        <f aca="false">IF($I41 &gt; 0, IF($J41 &lt; 0, $I41 - $J41 - $I27 + $K29, " "), " ")</f>
        <v> </v>
      </c>
      <c r="L41" s="25" t="n">
        <v>9</v>
      </c>
      <c r="M41" s="3"/>
      <c r="N41" s="3"/>
      <c r="O41" s="3"/>
      <c r="P41" s="3"/>
      <c r="Q41" s="14"/>
    </row>
    <row collapsed="false" customFormat="false" customHeight="true" hidden="false" ht="12.6" outlineLevel="0" r="42">
      <c r="B42" s="15"/>
      <c r="C42" s="3"/>
      <c r="D42" s="3"/>
      <c r="E42" s="3"/>
      <c r="F42" s="3"/>
      <c r="G42" s="25" t="n">
        <v>0.6</v>
      </c>
      <c r="H42" s="25"/>
      <c r="I42" s="47"/>
      <c r="J42" s="47"/>
      <c r="K42" s="25" t="str">
        <f aca="false">IF($I42 &gt; 0, IF($J42 &lt; 0, $I42 - $J42 - $K24 + $K29, " "), " ")</f>
        <v> </v>
      </c>
      <c r="L42" s="25" t="n">
        <v>11</v>
      </c>
      <c r="M42" s="3"/>
      <c r="N42" s="3"/>
      <c r="O42" s="3"/>
      <c r="P42" s="3"/>
      <c r="Q42" s="14"/>
    </row>
    <row collapsed="false" customFormat="false" customHeight="true" hidden="false" ht="12.6" outlineLevel="0" r="43">
      <c r="B43" s="15"/>
      <c r="C43" s="3"/>
      <c r="D43" s="3"/>
      <c r="E43" s="3"/>
      <c r="F43" s="3"/>
      <c r="G43" s="25" t="n">
        <v>0.6</v>
      </c>
      <c r="H43" s="25"/>
      <c r="I43" s="47"/>
      <c r="J43" s="47"/>
      <c r="K43" s="25" t="str">
        <f aca="false">IF($I43 &gt; 0, IF($J43 &lt; 0, $I43 - $J43 - $I26 + $K29, " "), " ")</f>
        <v> </v>
      </c>
      <c r="L43" s="25" t="n">
        <v>18</v>
      </c>
      <c r="M43" s="3"/>
      <c r="N43" s="3"/>
      <c r="O43" s="3"/>
      <c r="P43" s="3"/>
      <c r="Q43" s="14"/>
    </row>
    <row collapsed="false" customFormat="false" customHeight="true" hidden="false" ht="12.6" outlineLevel="0" r="44">
      <c r="B44" s="15"/>
      <c r="C44" s="3"/>
      <c r="D44" s="3"/>
      <c r="E44" s="3"/>
      <c r="F44" s="3"/>
      <c r="G44" s="25" t="n">
        <v>0.6</v>
      </c>
      <c r="H44" s="25"/>
      <c r="I44" s="47"/>
      <c r="J44" s="47"/>
      <c r="K44" s="25" t="str">
        <f aca="false">IF($I44 &gt; 0, IF($J44 &lt; 0, $I44 - $J44 - $I25 + $K29, " "), " ")</f>
        <v> </v>
      </c>
      <c r="L44" s="25" t="n">
        <v>24</v>
      </c>
      <c r="M44" s="3"/>
      <c r="N44" s="3"/>
      <c r="O44" s="3"/>
      <c r="P44" s="3"/>
      <c r="Q44" s="14"/>
    </row>
    <row collapsed="false" customFormat="false" customHeight="true" hidden="false" ht="12.6" outlineLevel="0" r="45">
      <c r="B45" s="15"/>
      <c r="C45" s="3"/>
      <c r="D45" s="3"/>
      <c r="E45" s="3"/>
      <c r="F45" s="3"/>
      <c r="G45" s="25" t="n">
        <v>0.5</v>
      </c>
      <c r="H45" s="25"/>
      <c r="I45" s="47"/>
      <c r="J45" s="47"/>
      <c r="K45" s="25" t="str">
        <f aca="false">IF($I45 &gt; 0, IF($J45 &lt; 0, $I45 - $J45 - $I25 + $K29, " "), " ")</f>
        <v> </v>
      </c>
      <c r="L45" s="25" t="n">
        <v>36</v>
      </c>
      <c r="M45" s="3"/>
      <c r="N45" s="3"/>
      <c r="O45" s="3"/>
      <c r="P45" s="3"/>
      <c r="Q45" s="14"/>
    </row>
    <row collapsed="false" customFormat="false" customHeight="true" hidden="false" ht="12.6" outlineLevel="0" r="46">
      <c r="B46" s="15"/>
      <c r="C46" s="3"/>
      <c r="D46" s="3"/>
      <c r="E46" s="3"/>
      <c r="F46" s="3"/>
      <c r="G46" s="25" t="n">
        <v>0.5</v>
      </c>
      <c r="H46" s="25"/>
      <c r="I46" s="47"/>
      <c r="J46" s="47"/>
      <c r="K46" s="25" t="str">
        <f aca="false">IF($I46 &gt; 0, IF($J46 &lt; 0, $I46 - $J46 - $I24 + $K29, " "), " ")</f>
        <v> </v>
      </c>
      <c r="L46" s="25" t="n">
        <v>48</v>
      </c>
      <c r="M46" s="3"/>
      <c r="N46" s="3"/>
      <c r="O46" s="3"/>
      <c r="P46" s="3"/>
      <c r="Q46" s="14"/>
    </row>
    <row collapsed="false" customFormat="false" customHeight="true" hidden="false" ht="12.6" outlineLevel="0" r="47">
      <c r="B47" s="15"/>
      <c r="C47" s="3"/>
      <c r="D47" s="3"/>
      <c r="E47" s="3"/>
      <c r="F47" s="3"/>
      <c r="G47" s="25" t="n">
        <v>0.5</v>
      </c>
      <c r="H47" s="25"/>
      <c r="I47" s="47"/>
      <c r="J47" s="47"/>
      <c r="K47" s="25" t="str">
        <f aca="false">IF($I47 &gt; 0, IF($J47 &lt; 0, $I47 - $J47 - $I24 + $K29, " "), " ")</f>
        <v> </v>
      </c>
      <c r="L47" s="25" t="n">
        <v>54</v>
      </c>
      <c r="M47" s="3"/>
      <c r="N47" s="3"/>
      <c r="O47" s="3"/>
      <c r="P47" s="3"/>
      <c r="Q47" s="14"/>
    </row>
    <row collapsed="false" customFormat="false" customHeight="true" hidden="false" ht="12.6" outlineLevel="0" r="48">
      <c r="B48" s="15"/>
      <c r="C48" s="45"/>
      <c r="D48" s="45"/>
      <c r="E48" s="46" t="s">
        <v>69</v>
      </c>
      <c r="F48" s="46"/>
      <c r="G48" s="45"/>
      <c r="H48" s="45"/>
      <c r="I48" s="3"/>
      <c r="J48" s="3"/>
      <c r="K48" s="45"/>
      <c r="L48" s="45"/>
      <c r="M48" s="46" t="s">
        <v>70</v>
      </c>
      <c r="N48" s="46"/>
      <c r="O48" s="45"/>
      <c r="P48" s="45"/>
      <c r="Q48" s="14"/>
    </row>
    <row collapsed="false" customFormat="false" customHeight="true" hidden="false" ht="12.6" outlineLevel="0" r="49">
      <c r="B49" s="15"/>
      <c r="C49" s="3"/>
      <c r="D49" s="3"/>
      <c r="E49" s="16"/>
      <c r="F49" s="16"/>
      <c r="G49" s="3"/>
      <c r="H49" s="3"/>
      <c r="I49" s="3"/>
      <c r="J49" s="3"/>
      <c r="K49" s="3"/>
      <c r="L49" s="3"/>
      <c r="M49" s="16"/>
      <c r="N49" s="16"/>
      <c r="O49" s="3"/>
      <c r="P49" s="3"/>
      <c r="Q49" s="14"/>
    </row>
    <row collapsed="false" customFormat="false" customHeight="true" hidden="false" ht="12.6" outlineLevel="0" r="50">
      <c r="B50" s="15"/>
      <c r="C50" s="37" t="s">
        <v>59</v>
      </c>
      <c r="D50" s="37"/>
      <c r="E50" s="54" t="s">
        <v>60</v>
      </c>
      <c r="F50" s="54" t="s">
        <v>61</v>
      </c>
      <c r="G50" s="37" t="s">
        <v>62</v>
      </c>
      <c r="H50" s="37" t="s">
        <v>63</v>
      </c>
      <c r="I50" s="48"/>
      <c r="J50" s="48"/>
      <c r="K50" s="37" t="s">
        <v>59</v>
      </c>
      <c r="L50" s="37"/>
      <c r="M50" s="54" t="s">
        <v>60</v>
      </c>
      <c r="N50" s="54" t="s">
        <v>61</v>
      </c>
      <c r="O50" s="37" t="s">
        <v>62</v>
      </c>
      <c r="P50" s="37" t="s">
        <v>63</v>
      </c>
      <c r="Q50" s="14"/>
    </row>
    <row collapsed="false" customFormat="false" customHeight="true" hidden="false" ht="12.6" outlineLevel="0" r="51">
      <c r="B51" s="15"/>
      <c r="C51" s="37"/>
      <c r="D51" s="37"/>
      <c r="E51" s="54"/>
      <c r="F51" s="54"/>
      <c r="G51" s="37"/>
      <c r="H51" s="37"/>
      <c r="I51" s="48"/>
      <c r="J51" s="48"/>
      <c r="K51" s="37"/>
      <c r="L51" s="37"/>
      <c r="M51" s="54"/>
      <c r="N51" s="54"/>
      <c r="O51" s="37"/>
      <c r="P51" s="37"/>
      <c r="Q51" s="14"/>
    </row>
    <row collapsed="false" customFormat="false" customHeight="true" hidden="false" ht="12.6" outlineLevel="0" r="52">
      <c r="B52" s="15"/>
      <c r="C52" s="25" t="n">
        <v>0.6</v>
      </c>
      <c r="D52" s="25"/>
      <c r="E52" s="47" t="n">
        <v>17.8</v>
      </c>
      <c r="F52" s="47" t="n">
        <v>-87</v>
      </c>
      <c r="G52" s="25" t="n">
        <f aca="false">IF($E52 &gt; 0, IF($F52 &lt; 0, $E52 - $F52 - $I27 + $K30, " "), " ")</f>
        <v>98.8</v>
      </c>
      <c r="H52" s="25" t="n">
        <v>6.5</v>
      </c>
      <c r="I52" s="3"/>
      <c r="J52" s="3"/>
      <c r="K52" s="25" t="n">
        <v>0.6</v>
      </c>
      <c r="L52" s="25"/>
      <c r="M52" s="47" t="n">
        <v>17.6</v>
      </c>
      <c r="N52" s="47" t="n">
        <v>-83</v>
      </c>
      <c r="O52" s="25" t="n">
        <f aca="false">IF($M52 &gt; 0, IF($N52 &lt; 0, $M52 - $N52 - $I27 + $K30, " "), " ")</f>
        <v>94.6</v>
      </c>
      <c r="P52" s="25" t="n">
        <v>13.5</v>
      </c>
      <c r="Q52" s="14"/>
    </row>
    <row collapsed="false" customFormat="false" customHeight="true" hidden="false" ht="12.6" outlineLevel="0" r="53">
      <c r="B53" s="15"/>
      <c r="C53" s="25" t="n">
        <v>0.6</v>
      </c>
      <c r="D53" s="25"/>
      <c r="E53" s="47"/>
      <c r="F53" s="47" t="n">
        <v>-85</v>
      </c>
      <c r="G53" s="25" t="str">
        <f aca="false">IF($E53 &gt; 0, IF($F53 &lt; 0, $E53 - $F53 - $I26 + $K30, " "), " ")</f>
        <v> </v>
      </c>
      <c r="H53" s="25" t="n">
        <v>13</v>
      </c>
      <c r="I53" s="3"/>
      <c r="J53" s="3"/>
      <c r="K53" s="25" t="n">
        <v>0.6</v>
      </c>
      <c r="L53" s="25"/>
      <c r="M53" s="47"/>
      <c r="N53" s="47" t="n">
        <v>-81</v>
      </c>
      <c r="O53" s="25" t="str">
        <f aca="false">IF($M53 &gt; 0, IF($N53 &lt; 0, $M53 - $N53 - $I26 + $K30, " "), " ")</f>
        <v> </v>
      </c>
      <c r="P53" s="25" t="n">
        <v>27</v>
      </c>
      <c r="Q53" s="14"/>
    </row>
    <row collapsed="false" customFormat="false" customHeight="true" hidden="false" ht="12.6" outlineLevel="0" r="54">
      <c r="B54" s="15"/>
      <c r="C54" s="25" t="n">
        <v>0.6</v>
      </c>
      <c r="D54" s="25"/>
      <c r="E54" s="47" t="n">
        <v>17.4</v>
      </c>
      <c r="F54" s="47" t="n">
        <v>-80</v>
      </c>
      <c r="G54" s="25" t="n">
        <f aca="false">IF($E54 &gt; 0, IF($F54 &lt; 0, $E54 - $F54 - $I25 + $K30, " "), " ")</f>
        <v>85.4</v>
      </c>
      <c r="H54" s="25" t="n">
        <v>26</v>
      </c>
      <c r="I54" s="3"/>
      <c r="J54" s="3"/>
      <c r="K54" s="25" t="n">
        <v>0.6</v>
      </c>
      <c r="L54" s="25"/>
      <c r="M54" s="47" t="n">
        <v>17.4</v>
      </c>
      <c r="N54" s="47" t="n">
        <v>-80</v>
      </c>
      <c r="O54" s="25" t="n">
        <f aca="false">IF($M54 &gt; 0, IF($N54 &lt; 0, $M54 - $N54 - $I25 + $K30, " "), " ")</f>
        <v>85.4</v>
      </c>
      <c r="P54" s="25" t="n">
        <v>54</v>
      </c>
      <c r="Q54" s="14"/>
    </row>
    <row collapsed="false" customFormat="false" customHeight="true" hidden="false" ht="12.6" outlineLevel="0" r="55">
      <c r="B55" s="15"/>
      <c r="C55" s="25" t="n">
        <v>0.5</v>
      </c>
      <c r="D55" s="25"/>
      <c r="E55" s="47" t="n">
        <v>15.6</v>
      </c>
      <c r="F55" s="47" t="n">
        <v>-82</v>
      </c>
      <c r="G55" s="25" t="n">
        <f aca="false">IF($E55 &gt; 0, IF($F55 &lt; 0, $E55 - $F55 - $I24 + $K30, " "), " ")</f>
        <v>81.6</v>
      </c>
      <c r="H55" s="25" t="n">
        <v>52</v>
      </c>
      <c r="I55" s="3"/>
      <c r="J55" s="3"/>
      <c r="K55" s="25" t="n">
        <v>0.5</v>
      </c>
      <c r="L55" s="25"/>
      <c r="M55" s="47" t="n">
        <v>15.1</v>
      </c>
      <c r="N55" s="47" t="n">
        <v>-78</v>
      </c>
      <c r="O55" s="25" t="n">
        <f aca="false">IF($M55 &gt; 0, IF($N55 &lt; 0, $M55 - $N55 - $I24 + $K30, " "), " ")</f>
        <v>77.1</v>
      </c>
      <c r="P55" s="25" t="n">
        <v>108</v>
      </c>
      <c r="Q55" s="14"/>
    </row>
    <row collapsed="false" customFormat="false" customHeight="true" hidden="false" ht="12.6" outlineLevel="0" r="56">
      <c r="B56" s="15"/>
      <c r="C56" s="51" t="n">
        <v>0.5</v>
      </c>
      <c r="D56" s="51"/>
      <c r="E56" s="52" t="n">
        <v>15.5</v>
      </c>
      <c r="F56" s="52" t="n">
        <v>-80</v>
      </c>
      <c r="G56" s="51" t="n">
        <f aca="false">IF($E56 &gt; 0, IF($F56 &lt; 0, $E56 - $F56 - $I24 + $K30, " "), " ")</f>
        <v>79.5</v>
      </c>
      <c r="H56" s="51" t="n">
        <v>65</v>
      </c>
      <c r="I56" s="3"/>
      <c r="J56" s="3"/>
      <c r="K56" s="51" t="n">
        <v>0.5</v>
      </c>
      <c r="L56" s="51"/>
      <c r="M56" s="52" t="n">
        <v>14.2</v>
      </c>
      <c r="N56" s="52" t="n">
        <v>-76</v>
      </c>
      <c r="O56" s="51" t="n">
        <f aca="false">IF($M56 &gt; 0, IF($N56 &lt; 0, $M56 - $N56 - $I24 + $K30, " "), " ")</f>
        <v>74.2</v>
      </c>
      <c r="P56" s="51" t="n">
        <v>135</v>
      </c>
      <c r="Q56" s="14"/>
    </row>
    <row collapsed="false" customFormat="false" customHeight="true" hidden="false" ht="12.6" outlineLevel="0" r="57">
      <c r="B57" s="15"/>
      <c r="C57" s="25" t="n">
        <v>0.6</v>
      </c>
      <c r="D57" s="25"/>
      <c r="E57" s="47"/>
      <c r="F57" s="47"/>
      <c r="G57" s="25" t="str">
        <f aca="false">IF($E57 &gt; 0, IF($F57 &lt; 0, $E57 - $F57 - $I27 + $K30, " "), " ")</f>
        <v> </v>
      </c>
      <c r="H57" s="25" t="n">
        <v>13</v>
      </c>
      <c r="I57" s="3"/>
      <c r="J57" s="3"/>
      <c r="K57" s="25" t="n">
        <v>0.6</v>
      </c>
      <c r="L57" s="25"/>
      <c r="M57" s="47"/>
      <c r="N57" s="47"/>
      <c r="O57" s="25" t="str">
        <f aca="false">IF($M57 &gt; 0, IF($N57 &lt; 0, $M57 - $N57 - $I27 + $K30, " "), " ")</f>
        <v> </v>
      </c>
      <c r="P57" s="25" t="n">
        <v>27</v>
      </c>
      <c r="Q57" s="14"/>
    </row>
    <row collapsed="false" customFormat="false" customHeight="true" hidden="false" ht="12.6" outlineLevel="0" r="58">
      <c r="B58" s="15"/>
      <c r="C58" s="25" t="n">
        <v>0.6</v>
      </c>
      <c r="D58" s="25"/>
      <c r="E58" s="47"/>
      <c r="F58" s="47"/>
      <c r="G58" s="25" t="str">
        <f aca="false">IF($E58 &gt; 0, IF($F58 &lt; 0, $E58 - $F58 - $I26 + $K30, " "), " ")</f>
        <v> </v>
      </c>
      <c r="H58" s="25" t="n">
        <v>26</v>
      </c>
      <c r="I58" s="3"/>
      <c r="J58" s="3"/>
      <c r="K58" s="25" t="n">
        <v>0.6</v>
      </c>
      <c r="L58" s="25"/>
      <c r="M58" s="47"/>
      <c r="N58" s="47"/>
      <c r="O58" s="25" t="str">
        <f aca="false">IF($M58 &gt; 0, IF($N58 &lt; 0, $M58 - $N58 - $I26 + $K30, " "), " ")</f>
        <v> </v>
      </c>
      <c r="P58" s="25" t="n">
        <v>54</v>
      </c>
      <c r="Q58" s="14"/>
    </row>
    <row collapsed="false" customFormat="false" customHeight="true" hidden="false" ht="12.6" outlineLevel="0" r="59">
      <c r="B59" s="15"/>
      <c r="C59" s="25" t="n">
        <v>0.6</v>
      </c>
      <c r="D59" s="25"/>
      <c r="E59" s="47"/>
      <c r="F59" s="47"/>
      <c r="G59" s="25" t="str">
        <f aca="false">IF($E59 &gt; 0, IF($F59 &lt; 0, $E59 - $F59 - $I25 + $K30, " "), " ")</f>
        <v> </v>
      </c>
      <c r="H59" s="25" t="n">
        <v>52</v>
      </c>
      <c r="I59" s="3"/>
      <c r="J59" s="3"/>
      <c r="K59" s="25" t="n">
        <v>0.6</v>
      </c>
      <c r="L59" s="25"/>
      <c r="M59" s="47"/>
      <c r="N59" s="47"/>
      <c r="O59" s="25" t="str">
        <f aca="false">IF($M59 &gt; 0, IF($N59 &lt; 0, $M59 - $N59 - $I25 + $K30, " "), " ")</f>
        <v> </v>
      </c>
      <c r="P59" s="25" t="n">
        <v>108</v>
      </c>
      <c r="Q59" s="14"/>
    </row>
    <row collapsed="false" customFormat="false" customHeight="true" hidden="false" ht="12.6" outlineLevel="0" r="60">
      <c r="B60" s="15"/>
      <c r="C60" s="25" t="n">
        <v>0.5</v>
      </c>
      <c r="D60" s="25"/>
      <c r="E60" s="47"/>
      <c r="F60" s="47"/>
      <c r="G60" s="25" t="str">
        <f aca="false">IF($E60 &gt; 0, IF($F60 &lt; 0, $E60 - $F60 - $I24 + $K30, " "), " ")</f>
        <v> </v>
      </c>
      <c r="H60" s="25" t="n">
        <v>104</v>
      </c>
      <c r="I60" s="3"/>
      <c r="J60" s="3"/>
      <c r="K60" s="25" t="n">
        <v>0.5</v>
      </c>
      <c r="L60" s="25"/>
      <c r="M60" s="47"/>
      <c r="N60" s="47"/>
      <c r="O60" s="25" t="str">
        <f aca="false">IF($M60 &gt; 0, IF($N60 &lt; 0, $M60 - $N60 - $I24 + $K30, " "), " ")</f>
        <v> </v>
      </c>
      <c r="P60" s="25" t="n">
        <v>216</v>
      </c>
      <c r="Q60" s="14"/>
    </row>
    <row collapsed="false" customFormat="false" customHeight="true" hidden="false" ht="12.6" outlineLevel="0" r="61">
      <c r="B61" s="15"/>
      <c r="C61" s="51" t="n">
        <v>0.5</v>
      </c>
      <c r="D61" s="51"/>
      <c r="E61" s="52"/>
      <c r="F61" s="52"/>
      <c r="G61" s="51" t="str">
        <f aca="false">IF($E61 &gt; 0, IF($F61 &lt; 0, $E61 - $F61 - $I24 + $K30, " "), " ")</f>
        <v> </v>
      </c>
      <c r="H61" s="51" t="n">
        <v>130</v>
      </c>
      <c r="I61" s="3"/>
      <c r="J61" s="3"/>
      <c r="K61" s="51" t="n">
        <v>0.5</v>
      </c>
      <c r="L61" s="51"/>
      <c r="M61" s="52"/>
      <c r="N61" s="52"/>
      <c r="O61" s="51" t="str">
        <f aca="false">IF($M61 &gt; 0, IF($N61 &lt; 0, $M61 - $N61 - $I24 + $K30, " "), " ")</f>
        <v> </v>
      </c>
      <c r="P61" s="51" t="n">
        <v>270</v>
      </c>
      <c r="Q61" s="14"/>
    </row>
    <row collapsed="false" customFormat="false" customHeight="true" hidden="false" ht="12.6" outlineLevel="0" r="62">
      <c r="B62" s="15"/>
      <c r="C62" s="25" t="n">
        <v>0.6</v>
      </c>
      <c r="D62" s="25"/>
      <c r="E62" s="47"/>
      <c r="F62" s="47"/>
      <c r="G62" s="25" t="str">
        <f aca="false">IF($E62 &gt; 0, IF($F62 &lt; 0, $E62 - $F62 - $I27 + $K30, " "), " ")</f>
        <v> </v>
      </c>
      <c r="H62" s="25" t="n">
        <v>19.5</v>
      </c>
      <c r="I62" s="3"/>
      <c r="J62" s="3"/>
      <c r="K62" s="25" t="n">
        <v>0.6</v>
      </c>
      <c r="L62" s="25"/>
      <c r="M62" s="47"/>
      <c r="N62" s="47"/>
      <c r="O62" s="25" t="str">
        <f aca="false">IF($M62 &gt; 0, IF($N62 &lt; 0, $M62 - $N62 - $I32 + $K35, " "), " ")</f>
        <v> </v>
      </c>
      <c r="P62" s="25" t="n">
        <v>40.5</v>
      </c>
      <c r="Q62" s="14"/>
    </row>
    <row collapsed="false" customFormat="false" customHeight="true" hidden="false" ht="12.6" outlineLevel="0" r="63">
      <c r="B63" s="15"/>
      <c r="C63" s="25" t="n">
        <v>0.6</v>
      </c>
      <c r="D63" s="25"/>
      <c r="E63" s="47"/>
      <c r="F63" s="47"/>
      <c r="G63" s="25" t="str">
        <f aca="false">IF($E63 &gt; 0, IF($F63 &lt; 0, $E63 - $F63 - $I26 + $K30, " "), " ")</f>
        <v> </v>
      </c>
      <c r="H63" s="25" t="n">
        <v>39</v>
      </c>
      <c r="I63" s="3"/>
      <c r="J63" s="3"/>
      <c r="K63" s="25" t="n">
        <v>0.6</v>
      </c>
      <c r="L63" s="25"/>
      <c r="M63" s="47"/>
      <c r="N63" s="47"/>
      <c r="O63" s="25" t="str">
        <f aca="false">IF($M63 &gt; 0, IF($N63 &lt; 0, $M63 - $N63 - $I31 + $K35, " "), " ")</f>
        <v> </v>
      </c>
      <c r="P63" s="25" t="n">
        <v>81</v>
      </c>
      <c r="Q63" s="14"/>
    </row>
    <row collapsed="false" customFormat="false" customHeight="true" hidden="false" ht="12.6" outlineLevel="0" r="64">
      <c r="B64" s="15"/>
      <c r="C64" s="25" t="n">
        <v>0.6</v>
      </c>
      <c r="D64" s="25"/>
      <c r="E64" s="47"/>
      <c r="F64" s="47"/>
      <c r="G64" s="25" t="str">
        <f aca="false">IF($E64 &gt; 0, IF($F64 &lt; 0, $E64 - $F64 - $I25 + $K30, " "), " ")</f>
        <v> </v>
      </c>
      <c r="H64" s="25" t="n">
        <v>78</v>
      </c>
      <c r="I64" s="3"/>
      <c r="J64" s="3"/>
      <c r="K64" s="25" t="n">
        <v>0.6</v>
      </c>
      <c r="L64" s="25"/>
      <c r="M64" s="47"/>
      <c r="N64" s="47"/>
      <c r="O64" s="25" t="str">
        <f aca="false">IF($M64 &gt; 0, IF($N64 &lt; 0, $M64 - $N64 - $I30 + $K35, " "), " ")</f>
        <v> </v>
      </c>
      <c r="P64" s="25" t="n">
        <v>162</v>
      </c>
      <c r="Q64" s="14"/>
    </row>
    <row collapsed="false" customFormat="false" customHeight="true" hidden="false" ht="12.6" outlineLevel="0" r="65">
      <c r="B65" s="15"/>
      <c r="C65" s="25" t="n">
        <v>0.5</v>
      </c>
      <c r="D65" s="25"/>
      <c r="E65" s="47"/>
      <c r="F65" s="47"/>
      <c r="G65" s="25" t="str">
        <f aca="false">IF($E65 &gt; 0, IF($F65 &lt; 0, $E65 - $F65 - $I24 + $K30, " "), " ")</f>
        <v> </v>
      </c>
      <c r="H65" s="25" t="n">
        <v>156</v>
      </c>
      <c r="I65" s="3"/>
      <c r="J65" s="3"/>
      <c r="K65" s="25" t="n">
        <v>0.5</v>
      </c>
      <c r="L65" s="25"/>
      <c r="M65" s="47"/>
      <c r="N65" s="47"/>
      <c r="O65" s="25" t="str">
        <f aca="false">IF($M65 &gt; 0, IF($N65 &lt; 0, $M65 - $N65 - $I29 + $K35, " "), " ")</f>
        <v> </v>
      </c>
      <c r="P65" s="25" t="n">
        <v>324</v>
      </c>
      <c r="Q65" s="14"/>
    </row>
    <row collapsed="false" customFormat="false" customHeight="true" hidden="false" ht="12.6" outlineLevel="0" r="66">
      <c r="B66" s="15"/>
      <c r="C66" s="51" t="n">
        <v>0.5</v>
      </c>
      <c r="D66" s="51"/>
      <c r="E66" s="52"/>
      <c r="F66" s="52"/>
      <c r="G66" s="51" t="str">
        <f aca="false">IF($E66 &gt; 0, IF($F66 &lt; 0, $E66 - $F66 - $I24 + $K30, " "), " ")</f>
        <v> </v>
      </c>
      <c r="H66" s="51" t="n">
        <v>195</v>
      </c>
      <c r="I66" s="3"/>
      <c r="J66" s="3"/>
      <c r="K66" s="51" t="n">
        <v>0.5</v>
      </c>
      <c r="L66" s="51"/>
      <c r="M66" s="52"/>
      <c r="N66" s="52"/>
      <c r="O66" s="51" t="str">
        <f aca="false">IF($M66 &gt; 0, IF($N66 &lt; 0, $M66 - $N66 - $I29 + $K35, " "), " ")</f>
        <v> </v>
      </c>
      <c r="P66" s="51" t="n">
        <v>405</v>
      </c>
      <c r="Q66" s="14"/>
    </row>
    <row collapsed="false" customFormat="false" customHeight="true" hidden="false" ht="12.6" outlineLevel="0" r="67">
      <c r="B67" s="15"/>
      <c r="C67" s="25" t="n">
        <v>0.6</v>
      </c>
      <c r="D67" s="25"/>
      <c r="E67" s="47"/>
      <c r="F67" s="47"/>
      <c r="G67" s="25" t="str">
        <f aca="false">IF($E67 &gt; 0, IF($F67 &lt; 0, $E67 - $F67 - $I27 + $K40, " "), " ")</f>
        <v> </v>
      </c>
      <c r="H67" s="25" t="n">
        <v>26</v>
      </c>
      <c r="I67" s="3"/>
      <c r="J67" s="3"/>
      <c r="K67" s="25" t="n">
        <v>0.6</v>
      </c>
      <c r="L67" s="25"/>
      <c r="M67" s="47"/>
      <c r="N67" s="47"/>
      <c r="O67" s="25" t="str">
        <f aca="false">IF($M67 &gt; 0, IF($N67 &lt; 0, $M67 - $N67 - $I37 + $K40, " "), " ")</f>
        <v> </v>
      </c>
      <c r="P67" s="25" t="n">
        <v>54</v>
      </c>
      <c r="Q67" s="14"/>
    </row>
    <row collapsed="false" customFormat="false" customHeight="true" hidden="false" ht="12.6" outlineLevel="0" r="68">
      <c r="B68" s="15"/>
      <c r="C68" s="25" t="n">
        <v>0.6</v>
      </c>
      <c r="D68" s="25"/>
      <c r="E68" s="47"/>
      <c r="F68" s="47"/>
      <c r="G68" s="25" t="str">
        <f aca="false">IF($E68 &gt; 0, IF($F68 &lt; 0, $E68 - $F68 - $I26 + $K30, " "), " ")</f>
        <v> </v>
      </c>
      <c r="H68" s="25" t="n">
        <v>52</v>
      </c>
      <c r="I68" s="3"/>
      <c r="J68" s="3"/>
      <c r="K68" s="25" t="n">
        <v>0.6</v>
      </c>
      <c r="L68" s="25"/>
      <c r="M68" s="47"/>
      <c r="N68" s="47"/>
      <c r="O68" s="25" t="str">
        <f aca="false">IF($M68 &gt; 0, IF($N68 &lt; 0, $M68 - $N68 - $I36 + $K40, " "), " ")</f>
        <v> </v>
      </c>
      <c r="P68" s="25" t="n">
        <v>108</v>
      </c>
      <c r="Q68" s="14"/>
    </row>
    <row collapsed="false" customFormat="false" customHeight="true" hidden="false" ht="12.6" outlineLevel="0" r="69">
      <c r="B69" s="15"/>
      <c r="C69" s="25" t="n">
        <v>0.6</v>
      </c>
      <c r="D69" s="25"/>
      <c r="E69" s="47"/>
      <c r="F69" s="47"/>
      <c r="G69" s="25" t="str">
        <f aca="false">IF($E69 &gt; 0, IF($F69 &lt; 0, $E69 - $F69 - $I25 + $K30, " "), " ")</f>
        <v> </v>
      </c>
      <c r="H69" s="25" t="n">
        <v>104</v>
      </c>
      <c r="I69" s="3"/>
      <c r="J69" s="3"/>
      <c r="K69" s="25" t="n">
        <v>0.6</v>
      </c>
      <c r="L69" s="25"/>
      <c r="M69" s="47"/>
      <c r="N69" s="47"/>
      <c r="O69" s="25" t="str">
        <f aca="false">IF($M69 &gt; 0, IF($N69 &lt; 0, $M69 - $N69 - $I35 + $K40, " "), " ")</f>
        <v> </v>
      </c>
      <c r="P69" s="25" t="n">
        <v>216</v>
      </c>
      <c r="Q69" s="14"/>
    </row>
    <row collapsed="false" customFormat="false" customHeight="true" hidden="false" ht="12.6" outlineLevel="0" r="70">
      <c r="B70" s="15"/>
      <c r="C70" s="25" t="n">
        <v>0.5</v>
      </c>
      <c r="D70" s="25"/>
      <c r="E70" s="47"/>
      <c r="F70" s="47"/>
      <c r="G70" s="25" t="str">
        <f aca="false">IF($E70 &gt; 0, IF($F70 &lt; 0, $E70 - $F70 - $I24 + $K30, " "), " ")</f>
        <v> </v>
      </c>
      <c r="H70" s="25" t="n">
        <v>208</v>
      </c>
      <c r="I70" s="3"/>
      <c r="J70" s="3"/>
      <c r="K70" s="25" t="n">
        <v>0.5</v>
      </c>
      <c r="L70" s="25"/>
      <c r="M70" s="47"/>
      <c r="N70" s="47"/>
      <c r="O70" s="25" t="str">
        <f aca="false">IF($M70 &gt; 0, IF($N70 &lt; 0, $M70 - $N70 - $I34 + $K40, " "), " ")</f>
        <v> </v>
      </c>
      <c r="P70" s="25" t="n">
        <v>432</v>
      </c>
      <c r="Q70" s="14"/>
    </row>
    <row collapsed="false" customFormat="false" customHeight="true" hidden="false" ht="12.6" outlineLevel="0" r="71">
      <c r="B71" s="15"/>
      <c r="C71" s="51" t="n">
        <v>0.5</v>
      </c>
      <c r="D71" s="51"/>
      <c r="E71" s="52"/>
      <c r="F71" s="52"/>
      <c r="G71" s="51" t="str">
        <f aca="false">IF($E71 &gt; 0, IF($F71 &lt; 0, $E71 - $F71 - $I24 + $K30, " "), " ")</f>
        <v> </v>
      </c>
      <c r="H71" s="51" t="n">
        <v>260</v>
      </c>
      <c r="I71" s="3"/>
      <c r="J71" s="3"/>
      <c r="K71" s="51" t="n">
        <v>0.5</v>
      </c>
      <c r="L71" s="51"/>
      <c r="M71" s="52"/>
      <c r="N71" s="52"/>
      <c r="O71" s="51" t="str">
        <f aca="false">IF($M71 &gt; 0, IF($N71 &lt; 0, $M71 - $N71 - $I34 + $K40, " "), " ")</f>
        <v> </v>
      </c>
      <c r="P71" s="51" t="n">
        <v>540</v>
      </c>
      <c r="Q71" s="14"/>
    </row>
    <row collapsed="false" customFormat="false" customHeight="true" hidden="false" ht="12.6" outlineLevel="0" r="72">
      <c r="B72" s="15"/>
      <c r="C72" s="25"/>
      <c r="D72" s="25"/>
      <c r="E72" s="89"/>
      <c r="F72" s="89"/>
      <c r="G72" s="25"/>
      <c r="H72" s="25"/>
      <c r="I72" s="3"/>
      <c r="J72" s="3"/>
      <c r="K72" s="25"/>
      <c r="L72" s="25"/>
      <c r="M72" s="89"/>
      <c r="N72" s="89"/>
      <c r="O72" s="25"/>
      <c r="P72" s="25"/>
      <c r="Q72" s="14"/>
    </row>
    <row collapsed="false" customFormat="false" customHeight="true" hidden="false" ht="12.6" outlineLevel="0" r="73">
      <c r="B73" s="15"/>
      <c r="C73" s="25"/>
      <c r="D73" s="25"/>
      <c r="E73" s="89"/>
      <c r="F73" s="89"/>
      <c r="G73" s="25"/>
      <c r="H73" s="54" t="s">
        <v>71</v>
      </c>
      <c r="I73" s="54"/>
      <c r="J73" s="54"/>
      <c r="K73" s="54"/>
      <c r="L73" s="25"/>
      <c r="M73" s="89"/>
      <c r="N73" s="89"/>
      <c r="O73" s="25"/>
      <c r="P73" s="25"/>
      <c r="Q73" s="14"/>
    </row>
    <row collapsed="false" customFormat="false" customHeight="true" hidden="false" ht="12.6" outlineLevel="0" r="74">
      <c r="B74" s="15"/>
      <c r="C74" s="25"/>
      <c r="D74" s="25"/>
      <c r="E74" s="89"/>
      <c r="F74" s="89"/>
      <c r="G74" s="25"/>
      <c r="H74" s="54"/>
      <c r="I74" s="54"/>
      <c r="J74" s="54"/>
      <c r="K74" s="54"/>
      <c r="L74" s="25"/>
      <c r="M74" s="89"/>
      <c r="N74" s="89"/>
      <c r="O74" s="25"/>
      <c r="P74" s="25"/>
      <c r="Q74" s="14"/>
    </row>
    <row collapsed="false" customFormat="false" customHeight="true" hidden="false" ht="12.6" outlineLevel="0" r="75">
      <c r="B75" s="15"/>
      <c r="C75" s="25"/>
      <c r="D75" s="25"/>
      <c r="E75" s="89"/>
      <c r="F75" s="89"/>
      <c r="G75" s="25"/>
      <c r="H75" s="37" t="s">
        <v>44</v>
      </c>
      <c r="I75" s="37"/>
      <c r="J75" s="37"/>
      <c r="K75" s="37"/>
      <c r="L75" s="25"/>
      <c r="M75" s="89"/>
      <c r="N75" s="89"/>
      <c r="O75" s="25"/>
      <c r="P75" s="25"/>
      <c r="Q75" s="14"/>
    </row>
    <row collapsed="false" customFormat="false" customHeight="true" hidden="false" ht="12.6" outlineLevel="0" r="76">
      <c r="B76" s="15"/>
      <c r="C76" s="25"/>
      <c r="D76" s="25"/>
      <c r="E76" s="89"/>
      <c r="F76" s="89"/>
      <c r="G76" s="25"/>
      <c r="H76" s="39"/>
      <c r="I76" s="37" t="s">
        <v>72</v>
      </c>
      <c r="J76" s="39" t="n">
        <v>16</v>
      </c>
      <c r="K76" s="39"/>
      <c r="L76" s="25"/>
      <c r="M76" s="89"/>
      <c r="N76" s="89"/>
      <c r="O76" s="25"/>
      <c r="P76" s="25"/>
      <c r="Q76" s="14"/>
    </row>
    <row collapsed="false" customFormat="false" customHeight="true" hidden="false" ht="12.6" outlineLevel="0" r="77">
      <c r="B77" s="15"/>
      <c r="C77" s="25"/>
      <c r="D77" s="25"/>
      <c r="E77" s="89"/>
      <c r="F77" s="89"/>
      <c r="G77" s="25"/>
      <c r="H77" s="39"/>
      <c r="I77" s="39"/>
      <c r="J77" s="39"/>
      <c r="K77" s="39"/>
      <c r="L77" s="25"/>
      <c r="M77" s="89"/>
      <c r="N77" s="89"/>
      <c r="O77" s="25"/>
      <c r="P77" s="25"/>
      <c r="Q77" s="14"/>
    </row>
    <row collapsed="false" customFormat="false" customHeight="true" hidden="false" ht="12.6" outlineLevel="0" r="78">
      <c r="B78" s="15"/>
      <c r="C78" s="25"/>
      <c r="D78" s="25"/>
      <c r="E78" s="89"/>
      <c r="F78" s="89"/>
      <c r="G78" s="25"/>
      <c r="H78" s="37" t="s">
        <v>74</v>
      </c>
      <c r="I78" s="37"/>
      <c r="J78" s="37"/>
      <c r="K78" s="39" t="n">
        <f aca="false">IF($P5 = $P9, 0, IF($P7 = $P9, $P11, $P10))</f>
        <v>0</v>
      </c>
      <c r="L78" s="25"/>
      <c r="M78" s="89"/>
      <c r="N78" s="89"/>
      <c r="O78" s="25"/>
      <c r="P78" s="25"/>
      <c r="Q78" s="14"/>
    </row>
    <row collapsed="false" customFormat="false" customHeight="true" hidden="false" ht="12.6" outlineLevel="0" r="79">
      <c r="B79" s="15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14"/>
    </row>
    <row collapsed="false" customFormat="false" customHeight="true" hidden="false" ht="12.6" outlineLevel="0" r="80">
      <c r="B80" s="15"/>
      <c r="C80" s="3"/>
      <c r="D80" s="3"/>
      <c r="E80" s="3"/>
      <c r="F80" s="3"/>
      <c r="G80" s="45"/>
      <c r="H80" s="45"/>
      <c r="I80" s="46" t="s">
        <v>75</v>
      </c>
      <c r="J80" s="46"/>
      <c r="K80" s="45"/>
      <c r="L80" s="45"/>
      <c r="M80" s="3"/>
      <c r="N80" s="3"/>
      <c r="O80" s="3"/>
      <c r="P80" s="3"/>
      <c r="Q80" s="14"/>
    </row>
    <row collapsed="false" customFormat="false" customHeight="true" hidden="false" ht="12.6" outlineLevel="0" r="81">
      <c r="B81" s="15"/>
      <c r="C81" s="3"/>
      <c r="D81" s="3"/>
      <c r="E81" s="3"/>
      <c r="F81" s="3"/>
      <c r="G81" s="3"/>
      <c r="H81" s="3"/>
      <c r="I81" s="16"/>
      <c r="J81" s="16"/>
      <c r="K81" s="3"/>
      <c r="L81" s="3"/>
      <c r="M81" s="3"/>
      <c r="N81" s="3"/>
      <c r="O81" s="3"/>
      <c r="P81" s="3"/>
      <c r="Q81" s="14"/>
    </row>
    <row collapsed="false" customFormat="false" customHeight="true" hidden="false" ht="12.6" outlineLevel="0" r="82">
      <c r="B82" s="15"/>
      <c r="C82" s="3"/>
      <c r="D82" s="3"/>
      <c r="E82" s="3"/>
      <c r="F82" s="3"/>
      <c r="G82" s="54" t="s">
        <v>59</v>
      </c>
      <c r="H82" s="54"/>
      <c r="I82" s="54" t="s">
        <v>60</v>
      </c>
      <c r="J82" s="54" t="s">
        <v>61</v>
      </c>
      <c r="K82" s="37" t="s">
        <v>62</v>
      </c>
      <c r="L82" s="37" t="s">
        <v>76</v>
      </c>
      <c r="M82" s="3"/>
      <c r="N82" s="3"/>
      <c r="O82" s="3"/>
      <c r="P82" s="3"/>
      <c r="Q82" s="14"/>
    </row>
    <row collapsed="false" customFormat="false" customHeight="true" hidden="false" ht="12.6" outlineLevel="0" r="83">
      <c r="B83" s="15"/>
      <c r="C83" s="3"/>
      <c r="D83" s="3"/>
      <c r="E83" s="3"/>
      <c r="F83" s="3"/>
      <c r="G83" s="54"/>
      <c r="H83" s="54"/>
      <c r="I83" s="54"/>
      <c r="J83" s="54"/>
      <c r="K83" s="37"/>
      <c r="L83" s="37"/>
      <c r="M83" s="3"/>
      <c r="N83" s="3"/>
      <c r="O83" s="3"/>
      <c r="P83" s="3"/>
      <c r="Q83" s="14"/>
    </row>
    <row collapsed="false" customFormat="false" customHeight="true" hidden="false" ht="12.6" outlineLevel="0" r="84">
      <c r="B84" s="15"/>
      <c r="C84" s="3"/>
      <c r="D84" s="3"/>
      <c r="E84" s="3"/>
      <c r="F84" s="3"/>
      <c r="G84" s="90" t="n">
        <v>0.6</v>
      </c>
      <c r="H84" s="90"/>
      <c r="I84" s="52"/>
      <c r="J84" s="52"/>
      <c r="K84" s="51" t="str">
        <f aca="false">IF($I84 &gt; 0, IF($J84 &lt; 0, $I84 - $J84 + $K78, " "), " ")</f>
        <v> </v>
      </c>
      <c r="L84" s="51" t="n">
        <v>250</v>
      </c>
      <c r="M84" s="3"/>
      <c r="N84" s="3"/>
      <c r="O84" s="3"/>
      <c r="P84" s="3"/>
      <c r="Q84" s="14"/>
    </row>
    <row collapsed="false" customFormat="false" customHeight="true" hidden="false" ht="12.6" outlineLevel="0" r="85">
      <c r="B85" s="29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2"/>
    </row>
    <row collapsed="false" customFormat="false" customHeight="true" hidden="false" ht="12.6" outlineLevel="0" r="86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</row>
    <row collapsed="false" customFormat="false" customHeight="true" hidden="false" ht="12.6" outlineLevel="0" r="87">
      <c r="B87" s="10"/>
      <c r="C87" s="42"/>
      <c r="D87" s="42"/>
      <c r="E87" s="42"/>
      <c r="F87" s="42"/>
      <c r="G87" s="53" t="s">
        <v>77</v>
      </c>
      <c r="H87" s="53"/>
      <c r="I87" s="53"/>
      <c r="J87" s="53"/>
      <c r="K87" s="53"/>
      <c r="L87" s="53"/>
      <c r="M87" s="42"/>
      <c r="N87" s="42"/>
      <c r="O87" s="42"/>
      <c r="P87" s="42"/>
      <c r="Q87" s="43"/>
    </row>
    <row collapsed="false" customFormat="false" customHeight="true" hidden="false" ht="12.6" outlineLevel="0" r="88">
      <c r="B88" s="15"/>
      <c r="C88" s="3"/>
      <c r="D88" s="3"/>
      <c r="E88" s="3"/>
      <c r="F88" s="3"/>
      <c r="G88" s="54"/>
      <c r="H88" s="27"/>
      <c r="I88" s="27"/>
      <c r="J88" s="27"/>
      <c r="K88" s="27"/>
      <c r="L88" s="27"/>
      <c r="M88" s="3"/>
      <c r="N88" s="3"/>
      <c r="O88" s="3"/>
      <c r="P88" s="3"/>
      <c r="Q88" s="14"/>
    </row>
    <row collapsed="false" customFormat="false" customHeight="true" hidden="false" ht="12.6" outlineLevel="0" r="89">
      <c r="B89" s="15"/>
      <c r="C89" s="27"/>
      <c r="D89" s="54" t="s">
        <v>79</v>
      </c>
      <c r="E89" s="54"/>
      <c r="F89" s="54"/>
      <c r="G89" s="54" t="s">
        <v>80</v>
      </c>
      <c r="H89" s="54"/>
      <c r="I89" s="54"/>
      <c r="J89" s="54" t="s">
        <v>81</v>
      </c>
      <c r="K89" s="54"/>
      <c r="L89" s="54" t="s">
        <v>82</v>
      </c>
      <c r="M89" s="54"/>
      <c r="N89" s="54" t="s">
        <v>83</v>
      </c>
      <c r="O89" s="54"/>
      <c r="P89" s="38" t="s">
        <v>84</v>
      </c>
      <c r="Q89" s="38"/>
    </row>
    <row collapsed="false" customFormat="false" customHeight="true" hidden="false" ht="12.6" outlineLevel="0" r="90">
      <c r="B90" s="15"/>
      <c r="C90" s="27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38"/>
      <c r="Q90" s="38"/>
    </row>
    <row collapsed="false" customFormat="false" customHeight="true" hidden="false" ht="12.6" outlineLevel="0" r="91">
      <c r="B91" s="55" t="s">
        <v>85</v>
      </c>
      <c r="C91" s="55"/>
      <c r="D91" s="52" t="n">
        <v>6</v>
      </c>
      <c r="E91" s="52"/>
      <c r="F91" s="52"/>
      <c r="G91" s="52" t="n">
        <v>3</v>
      </c>
      <c r="H91" s="52"/>
      <c r="I91" s="52"/>
      <c r="J91" s="56" t="n">
        <v>1</v>
      </c>
      <c r="K91" s="56"/>
      <c r="L91" s="56"/>
      <c r="M91" s="56"/>
      <c r="N91" s="56" t="n">
        <v>1</v>
      </c>
      <c r="O91" s="56"/>
      <c r="P91" s="57" t="e">
        <f aca="false">pathloss_($D91, $G91, $J91, $L91, $N91) + $I16 + $P16</f>
        <v>#NAME?</v>
      </c>
      <c r="Q91" s="57"/>
      <c r="R91" s="59"/>
      <c r="S91" s="59"/>
    </row>
    <row collapsed="false" customFormat="false" customHeight="true" hidden="false" ht="12.6" outlineLevel="0" r="92">
      <c r="B92" s="55"/>
      <c r="C92" s="55"/>
      <c r="D92" s="52"/>
      <c r="E92" s="52"/>
      <c r="F92" s="52"/>
      <c r="G92" s="52"/>
      <c r="H92" s="52"/>
      <c r="I92" s="52"/>
      <c r="J92" s="56"/>
      <c r="K92" s="56"/>
      <c r="L92" s="56"/>
      <c r="M92" s="56"/>
      <c r="N92" s="56"/>
      <c r="O92" s="56"/>
      <c r="P92" s="57"/>
      <c r="Q92" s="57"/>
      <c r="R92" s="59"/>
      <c r="S92" s="59"/>
    </row>
    <row collapsed="false" customFormat="false" customHeight="true" hidden="false" ht="12.6" outlineLevel="0" r="93">
      <c r="B93" s="60" t="s">
        <v>88</v>
      </c>
      <c r="C93" s="60"/>
      <c r="D93" s="50" t="n">
        <v>8</v>
      </c>
      <c r="E93" s="50"/>
      <c r="F93" s="50"/>
      <c r="G93" s="50" t="n">
        <v>2.5</v>
      </c>
      <c r="H93" s="50"/>
      <c r="I93" s="50"/>
      <c r="J93" s="40"/>
      <c r="K93" s="40"/>
      <c r="L93" s="40" t="n">
        <v>1</v>
      </c>
      <c r="M93" s="40"/>
      <c r="N93" s="40" t="n">
        <v>1</v>
      </c>
      <c r="O93" s="40"/>
      <c r="P93" s="61" t="e">
        <f aca="false">pathloss_($D93, $G93, $J93, $L93, $N93) + $I16 + $P16</f>
        <v>#NAME?</v>
      </c>
      <c r="Q93" s="61"/>
      <c r="R93" s="59"/>
      <c r="S93" s="59"/>
    </row>
    <row collapsed="false" customFormat="false" customHeight="true" hidden="false" ht="12.6" outlineLevel="0" r="94">
      <c r="B94" s="60"/>
      <c r="C94" s="60"/>
      <c r="D94" s="50"/>
      <c r="E94" s="50"/>
      <c r="F94" s="50"/>
      <c r="G94" s="50"/>
      <c r="H94" s="50"/>
      <c r="I94" s="50"/>
      <c r="J94" s="40"/>
      <c r="K94" s="40"/>
      <c r="L94" s="40"/>
      <c r="M94" s="40"/>
      <c r="N94" s="40"/>
      <c r="O94" s="40"/>
      <c r="P94" s="61"/>
      <c r="Q94" s="61"/>
      <c r="R94" s="59"/>
      <c r="S94" s="59"/>
    </row>
    <row collapsed="false" customFormat="false" customHeight="true" hidden="false" ht="12.6" outlineLevel="0" r="96">
      <c r="B96" s="10"/>
      <c r="C96" s="42"/>
      <c r="D96" s="42"/>
      <c r="E96" s="42"/>
      <c r="F96" s="42"/>
      <c r="G96" s="53" t="s">
        <v>89</v>
      </c>
      <c r="H96" s="53"/>
      <c r="I96" s="53"/>
      <c r="J96" s="53"/>
      <c r="K96" s="53"/>
      <c r="L96" s="53"/>
      <c r="M96" s="42"/>
      <c r="N96" s="42"/>
      <c r="O96" s="42"/>
      <c r="P96" s="42"/>
      <c r="Q96" s="43"/>
    </row>
    <row collapsed="false" customFormat="false" customHeight="true" hidden="false" ht="12.6" outlineLevel="0" r="97">
      <c r="B97" s="15"/>
      <c r="C97" s="3"/>
      <c r="D97" s="3"/>
      <c r="E97" s="3"/>
      <c r="F97" s="3"/>
      <c r="G97" s="54"/>
      <c r="H97" s="54"/>
      <c r="I97" s="54"/>
      <c r="J97" s="54"/>
      <c r="K97" s="27"/>
      <c r="L97" s="27"/>
      <c r="M97" s="3"/>
      <c r="N97" s="3"/>
      <c r="O97" s="3"/>
      <c r="P97" s="3"/>
      <c r="Q97" s="14"/>
    </row>
    <row collapsed="false" customFormat="false" customHeight="true" hidden="false" ht="12.6" outlineLevel="0" r="98">
      <c r="B98" s="91" t="s">
        <v>91</v>
      </c>
      <c r="C98" s="91"/>
      <c r="D98" s="91"/>
      <c r="E98" s="63" t="n">
        <v>4</v>
      </c>
      <c r="F98" s="37" t="s">
        <v>92</v>
      </c>
      <c r="G98" s="37"/>
      <c r="H98" s="37"/>
      <c r="I98" s="64" t="n">
        <f aca="false">32.45+20*LOG10($E6)+20*ABS(LOG10($E98))</f>
        <v>52.0954246607914</v>
      </c>
      <c r="J98" s="37" t="s">
        <v>93</v>
      </c>
      <c r="K98" s="37"/>
      <c r="L98" s="37"/>
      <c r="M98" s="37"/>
      <c r="N98" s="37"/>
      <c r="O98" s="37"/>
      <c r="P98" s="37"/>
      <c r="Q98" s="65" t="n">
        <v>-11</v>
      </c>
    </row>
    <row collapsed="false" customFormat="false" customHeight="true" hidden="false" ht="12.6" outlineLevel="0" r="99">
      <c r="B99" s="91"/>
      <c r="C99" s="91"/>
      <c r="D99" s="91"/>
      <c r="E99" s="63"/>
      <c r="F99" s="37"/>
      <c r="G99" s="37"/>
      <c r="H99" s="37"/>
      <c r="I99" s="64"/>
      <c r="J99" s="37"/>
      <c r="K99" s="37"/>
      <c r="L99" s="37"/>
      <c r="M99" s="37"/>
      <c r="N99" s="37"/>
      <c r="O99" s="37"/>
      <c r="P99" s="37"/>
      <c r="Q99" s="65"/>
    </row>
    <row collapsed="false" customFormat="false" customHeight="true" hidden="false" ht="12.6" outlineLevel="0" r="100">
      <c r="B100" s="91"/>
      <c r="C100" s="54"/>
      <c r="D100" s="92"/>
      <c r="E100" s="93"/>
      <c r="F100" s="92"/>
      <c r="G100" s="92"/>
      <c r="H100" s="92"/>
      <c r="I100" s="94"/>
      <c r="J100" s="92"/>
      <c r="K100" s="92"/>
      <c r="L100" s="92"/>
      <c r="M100" s="92"/>
      <c r="N100" s="92"/>
      <c r="O100" s="92"/>
      <c r="P100" s="92"/>
      <c r="Q100" s="95"/>
    </row>
    <row collapsed="false" customFormat="false" customHeight="true" hidden="false" ht="12.6" outlineLevel="0" r="101">
      <c r="B101" s="62" t="s">
        <v>120</v>
      </c>
      <c r="C101" s="62"/>
      <c r="D101" s="62"/>
      <c r="E101" s="62"/>
      <c r="F101" s="54" t="s">
        <v>121</v>
      </c>
      <c r="G101" s="54"/>
      <c r="H101" s="54"/>
      <c r="I101" s="96" t="n">
        <v>-10.2</v>
      </c>
      <c r="J101" s="97" t="s">
        <v>122</v>
      </c>
      <c r="K101" s="97"/>
      <c r="L101" s="97"/>
      <c r="M101" s="97"/>
      <c r="N101" s="97"/>
      <c r="O101" s="97"/>
      <c r="P101" s="97"/>
      <c r="Q101" s="98" t="n">
        <v>6.5</v>
      </c>
    </row>
    <row collapsed="false" customFormat="false" customHeight="true" hidden="false" ht="12.6" outlineLevel="0" r="102">
      <c r="B102" s="62"/>
      <c r="C102" s="62"/>
      <c r="D102" s="62"/>
      <c r="E102" s="62"/>
      <c r="F102" s="54"/>
      <c r="G102" s="54"/>
      <c r="H102" s="54"/>
      <c r="I102" s="96"/>
      <c r="J102" s="97"/>
      <c r="K102" s="97"/>
      <c r="L102" s="97"/>
      <c r="M102" s="97"/>
      <c r="N102" s="97"/>
      <c r="O102" s="97"/>
      <c r="P102" s="97"/>
      <c r="Q102" s="98"/>
    </row>
    <row collapsed="false" customFormat="false" customHeight="true" hidden="false" ht="12.6" outlineLevel="0" r="103">
      <c r="B103" s="15"/>
      <c r="C103" s="3"/>
      <c r="D103" s="3"/>
      <c r="E103" s="3"/>
      <c r="F103" s="3"/>
      <c r="G103" s="54"/>
      <c r="H103" s="54"/>
      <c r="I103" s="54"/>
      <c r="J103" s="54"/>
      <c r="K103" s="3"/>
      <c r="L103" s="3"/>
      <c r="M103" s="3"/>
      <c r="N103" s="3"/>
      <c r="O103" s="3"/>
      <c r="P103" s="3"/>
      <c r="Q103" s="14"/>
    </row>
    <row collapsed="false" customFormat="false" customHeight="true" hidden="false" ht="12.6" outlineLevel="0" r="104">
      <c r="B104" s="62" t="s">
        <v>96</v>
      </c>
      <c r="C104" s="62"/>
      <c r="D104" s="37" t="s">
        <v>123</v>
      </c>
      <c r="E104" s="37"/>
      <c r="F104" s="37" t="s">
        <v>98</v>
      </c>
      <c r="G104" s="37"/>
      <c r="H104" s="37" t="s">
        <v>99</v>
      </c>
      <c r="I104" s="37"/>
      <c r="J104" s="54" t="s">
        <v>100</v>
      </c>
      <c r="K104" s="54"/>
      <c r="L104" s="54" t="s">
        <v>124</v>
      </c>
      <c r="M104" s="54"/>
      <c r="N104" s="54" t="s">
        <v>102</v>
      </c>
      <c r="O104" s="54"/>
      <c r="P104" s="99" t="s">
        <v>103</v>
      </c>
      <c r="Q104" s="99"/>
    </row>
    <row collapsed="false" customFormat="false" customHeight="true" hidden="false" ht="12.6" outlineLevel="0" r="105">
      <c r="B105" s="62"/>
      <c r="C105" s="62"/>
      <c r="D105" s="37"/>
      <c r="E105" s="37"/>
      <c r="F105" s="37"/>
      <c r="G105" s="37"/>
      <c r="H105" s="37"/>
      <c r="I105" s="37"/>
      <c r="J105" s="54"/>
      <c r="K105" s="54"/>
      <c r="L105" s="54"/>
      <c r="M105" s="54"/>
      <c r="N105" s="54"/>
      <c r="O105" s="54"/>
      <c r="P105" s="99"/>
      <c r="Q105" s="99"/>
    </row>
    <row collapsed="false" customFormat="false" customHeight="true" hidden="false" ht="12.6" outlineLevel="0" r="106">
      <c r="B106" s="62" t="s">
        <v>104</v>
      </c>
      <c r="C106" s="62"/>
      <c r="D106" s="37" t="s">
        <v>104</v>
      </c>
      <c r="E106" s="37"/>
      <c r="F106" s="37" t="s">
        <v>105</v>
      </c>
      <c r="G106" s="37"/>
      <c r="H106" s="37" t="str">
        <f aca="false">IF($E3 = "802.15.4", "(kbps)", "(mbps)")</f>
        <v>(mbps)</v>
      </c>
      <c r="I106" s="37"/>
      <c r="J106" s="54" t="s">
        <v>105</v>
      </c>
      <c r="K106" s="54"/>
      <c r="L106" s="54" t="str">
        <f aca="false">IF($E3 = "802.15.4", "(kbps)", "(mbps)")</f>
        <v>(mbps)</v>
      </c>
      <c r="M106" s="54"/>
      <c r="N106" s="54" t="str">
        <f aca="false">IF($E3 = "802.15.4", "(kbps)", "(mbps)")</f>
        <v>(mbps)</v>
      </c>
      <c r="O106" s="54"/>
      <c r="P106" s="99" t="str">
        <f aca="false">IF($E3 = "802.15.4", "(kbps)", "(mbps)")</f>
        <v>(mbps)</v>
      </c>
      <c r="Q106" s="99"/>
    </row>
    <row collapsed="false" customFormat="false" customHeight="true" hidden="false" ht="12.6" outlineLevel="0" r="107">
      <c r="B107" s="66" t="n">
        <v>0</v>
      </c>
      <c r="C107" s="66"/>
      <c r="D107" s="64" t="n">
        <f aca="false">$I98 +$Q98 + $B107 + $I101 + $Q101 + $I16 + $P16</f>
        <v>43.9954246607914</v>
      </c>
      <c r="E107" s="64"/>
      <c r="F107" s="64"/>
      <c r="G107" s="64"/>
      <c r="H107" s="64" t="e">
        <f aca="false">throughput($D107)</f>
        <v>#NAME?</v>
      </c>
      <c r="I107" s="64"/>
      <c r="J107" s="67"/>
      <c r="K107" s="67"/>
      <c r="L107" s="67" t="n">
        <v>62.9</v>
      </c>
      <c r="M107" s="67"/>
      <c r="N107" s="67" t="n">
        <v>31.5</v>
      </c>
      <c r="O107" s="67"/>
      <c r="P107" s="68" t="n">
        <v>49.2</v>
      </c>
      <c r="Q107" s="68"/>
    </row>
    <row collapsed="false" customFormat="false" customHeight="true" hidden="false" ht="12.6" outlineLevel="0" r="108">
      <c r="B108" s="66" t="n">
        <v>1</v>
      </c>
      <c r="C108" s="66"/>
      <c r="D108" s="64" t="n">
        <f aca="false">$I98 +$Q98 + $B108 + $I101 + $Q101 + $I16 + $P16</f>
        <v>44.9954246607914</v>
      </c>
      <c r="E108" s="64"/>
      <c r="F108" s="64"/>
      <c r="G108" s="64"/>
      <c r="H108" s="64" t="e">
        <f aca="false">throughput($D108)</f>
        <v>#NAME?</v>
      </c>
      <c r="I108" s="64"/>
      <c r="J108" s="67"/>
      <c r="K108" s="67"/>
      <c r="L108" s="67"/>
      <c r="M108" s="67"/>
      <c r="N108" s="67"/>
      <c r="O108" s="67"/>
      <c r="P108" s="68"/>
      <c r="Q108" s="68"/>
    </row>
    <row collapsed="false" customFormat="false" customHeight="true" hidden="false" ht="12.6" outlineLevel="0" r="109">
      <c r="B109" s="66" t="n">
        <v>2</v>
      </c>
      <c r="C109" s="66"/>
      <c r="D109" s="64" t="n">
        <f aca="false">$I98 +$Q98 + $B109 + $I101 + $Q101 + $I16 + $P16</f>
        <v>45.9954246607914</v>
      </c>
      <c r="E109" s="64"/>
      <c r="F109" s="64"/>
      <c r="G109" s="64"/>
      <c r="H109" s="64" t="e">
        <f aca="false">throughput($D109)</f>
        <v>#NAME?</v>
      </c>
      <c r="I109" s="64"/>
      <c r="J109" s="67"/>
      <c r="K109" s="67"/>
      <c r="L109" s="67"/>
      <c r="M109" s="67"/>
      <c r="N109" s="67"/>
      <c r="O109" s="67"/>
      <c r="P109" s="68"/>
      <c r="Q109" s="68"/>
    </row>
    <row collapsed="false" customFormat="false" customHeight="true" hidden="false" ht="12.6" outlineLevel="0" r="110">
      <c r="B110" s="66" t="n">
        <v>3</v>
      </c>
      <c r="C110" s="66"/>
      <c r="D110" s="64" t="n">
        <f aca="false">$I98 +$Q98 + $B110 + $I101 + $Q101 + $I16 + $P16</f>
        <v>46.9954246607914</v>
      </c>
      <c r="E110" s="64"/>
      <c r="F110" s="64"/>
      <c r="G110" s="64"/>
      <c r="H110" s="64" t="e">
        <f aca="false">throughput($D110)</f>
        <v>#NAME?</v>
      </c>
      <c r="I110" s="64"/>
      <c r="J110" s="67"/>
      <c r="K110" s="67"/>
      <c r="L110" s="67"/>
      <c r="M110" s="67"/>
      <c r="N110" s="67"/>
      <c r="O110" s="67"/>
      <c r="P110" s="68"/>
      <c r="Q110" s="68"/>
    </row>
    <row collapsed="false" customFormat="false" customHeight="true" hidden="false" ht="12.6" outlineLevel="0" r="111">
      <c r="B111" s="66" t="n">
        <v>4</v>
      </c>
      <c r="C111" s="66"/>
      <c r="D111" s="64" t="n">
        <f aca="false">$I98 +$Q98 + $B111 + $I101 + $Q101 + $I16 + $P16</f>
        <v>47.9954246607914</v>
      </c>
      <c r="E111" s="64"/>
      <c r="F111" s="64"/>
      <c r="G111" s="64"/>
      <c r="H111" s="64" t="e">
        <f aca="false">throughput($D111)</f>
        <v>#NAME?</v>
      </c>
      <c r="I111" s="64"/>
      <c r="J111" s="67"/>
      <c r="K111" s="67"/>
      <c r="L111" s="67"/>
      <c r="M111" s="67"/>
      <c r="N111" s="67"/>
      <c r="O111" s="67"/>
      <c r="P111" s="68"/>
      <c r="Q111" s="68"/>
    </row>
    <row collapsed="false" customFormat="false" customHeight="true" hidden="false" ht="12.6" outlineLevel="0" r="112">
      <c r="B112" s="66" t="n">
        <v>5</v>
      </c>
      <c r="C112" s="66"/>
      <c r="D112" s="64" t="n">
        <f aca="false">$I98 +$Q98 + $B112 + $I101 + $Q101 + $I16 + $P16</f>
        <v>48.9954246607914</v>
      </c>
      <c r="E112" s="64"/>
      <c r="F112" s="64"/>
      <c r="G112" s="64"/>
      <c r="H112" s="64" t="e">
        <f aca="false">throughput($D112)</f>
        <v>#NAME?</v>
      </c>
      <c r="I112" s="64"/>
      <c r="J112" s="67"/>
      <c r="K112" s="67"/>
      <c r="L112" s="67"/>
      <c r="M112" s="67"/>
      <c r="N112" s="67"/>
      <c r="O112" s="67"/>
      <c r="P112" s="68"/>
      <c r="Q112" s="68"/>
    </row>
    <row collapsed="false" customFormat="false" customHeight="true" hidden="false" ht="12.6" outlineLevel="0" r="113">
      <c r="B113" s="66" t="n">
        <v>6</v>
      </c>
      <c r="C113" s="66"/>
      <c r="D113" s="64" t="n">
        <f aca="false">$I98 +$Q98 + $B113 + $I101 + $Q101 + $I16 + $P16</f>
        <v>49.9954246607914</v>
      </c>
      <c r="E113" s="64"/>
      <c r="F113" s="64"/>
      <c r="G113" s="64"/>
      <c r="H113" s="64" t="e">
        <f aca="false">throughput($D113)</f>
        <v>#NAME?</v>
      </c>
      <c r="I113" s="64"/>
      <c r="J113" s="67"/>
      <c r="K113" s="67"/>
      <c r="L113" s="67" t="n">
        <v>63.6</v>
      </c>
      <c r="M113" s="67"/>
      <c r="N113" s="67" t="n">
        <v>35.8</v>
      </c>
      <c r="O113" s="67"/>
      <c r="P113" s="68" t="n">
        <v>50.7</v>
      </c>
      <c r="Q113" s="68"/>
    </row>
    <row collapsed="false" customFormat="false" customHeight="true" hidden="false" ht="12.6" outlineLevel="0" r="114">
      <c r="B114" s="66" t="n">
        <v>7</v>
      </c>
      <c r="C114" s="66"/>
      <c r="D114" s="64" t="n">
        <f aca="false">$I98 +$Q98 + $B114 + $I101 + $Q101 + $I16 + $P16</f>
        <v>50.9954246607914</v>
      </c>
      <c r="E114" s="64"/>
      <c r="F114" s="64"/>
      <c r="G114" s="64"/>
      <c r="H114" s="64" t="e">
        <f aca="false">throughput($D114)</f>
        <v>#NAME?</v>
      </c>
      <c r="I114" s="64"/>
      <c r="J114" s="67"/>
      <c r="K114" s="67"/>
      <c r="L114" s="67"/>
      <c r="M114" s="67"/>
      <c r="N114" s="67"/>
      <c r="O114" s="67"/>
      <c r="P114" s="68"/>
      <c r="Q114" s="68"/>
    </row>
    <row collapsed="false" customFormat="false" customHeight="true" hidden="false" ht="12.6" outlineLevel="0" r="115">
      <c r="B115" s="66" t="n">
        <v>8</v>
      </c>
      <c r="C115" s="66"/>
      <c r="D115" s="64" t="n">
        <f aca="false">$I98 +$Q98 + $B115 + $I101 + $Q101 + $I16 + $P16</f>
        <v>51.9954246607914</v>
      </c>
      <c r="E115" s="64"/>
      <c r="F115" s="64"/>
      <c r="G115" s="64"/>
      <c r="H115" s="64" t="e">
        <f aca="false">throughput($D115)</f>
        <v>#NAME?</v>
      </c>
      <c r="I115" s="64"/>
      <c r="J115" s="67"/>
      <c r="K115" s="67"/>
      <c r="L115" s="67"/>
      <c r="M115" s="67"/>
      <c r="N115" s="67"/>
      <c r="O115" s="67"/>
      <c r="P115" s="68"/>
      <c r="Q115" s="68"/>
    </row>
    <row collapsed="false" customFormat="false" customHeight="true" hidden="false" ht="12.6" outlineLevel="0" r="116">
      <c r="B116" s="66" t="n">
        <v>9</v>
      </c>
      <c r="C116" s="66"/>
      <c r="D116" s="64" t="n">
        <f aca="false">$I98 +$Q98 + $B116 + $I101 + $Q101 + $I16 + $P16</f>
        <v>52.9954246607914</v>
      </c>
      <c r="E116" s="64"/>
      <c r="F116" s="64"/>
      <c r="G116" s="64"/>
      <c r="H116" s="64" t="e">
        <f aca="false">throughput($D116)</f>
        <v>#NAME?</v>
      </c>
      <c r="I116" s="64"/>
      <c r="J116" s="67"/>
      <c r="K116" s="67"/>
      <c r="L116" s="67"/>
      <c r="M116" s="67"/>
      <c r="N116" s="67"/>
      <c r="O116" s="67"/>
      <c r="P116" s="68"/>
      <c r="Q116" s="68"/>
    </row>
    <row collapsed="false" customFormat="false" customHeight="true" hidden="false" ht="12.6" outlineLevel="0" r="117">
      <c r="B117" s="66" t="n">
        <v>10</v>
      </c>
      <c r="C117" s="66"/>
      <c r="D117" s="64" t="n">
        <f aca="false">$I98 +$Q98 + $B117 + $I101 + $Q101 + $I16 + $P16</f>
        <v>53.9954246607914</v>
      </c>
      <c r="E117" s="64"/>
      <c r="F117" s="64"/>
      <c r="G117" s="64"/>
      <c r="H117" s="64" t="e">
        <f aca="false">throughput($D117)</f>
        <v>#NAME?</v>
      </c>
      <c r="I117" s="64"/>
      <c r="J117" s="67"/>
      <c r="K117" s="67"/>
      <c r="L117" s="67"/>
      <c r="M117" s="67"/>
      <c r="N117" s="67"/>
      <c r="O117" s="67"/>
      <c r="P117" s="68"/>
      <c r="Q117" s="68"/>
    </row>
    <row collapsed="false" customFormat="false" customHeight="true" hidden="false" ht="12.6" outlineLevel="0" r="118">
      <c r="B118" s="66" t="n">
        <v>11</v>
      </c>
      <c r="C118" s="66"/>
      <c r="D118" s="64" t="n">
        <f aca="false">$I98 +$Q98 + $B118 + $I101 + $Q101 + $I16 + $P16</f>
        <v>54.9954246607914</v>
      </c>
      <c r="E118" s="64"/>
      <c r="F118" s="64"/>
      <c r="G118" s="64"/>
      <c r="H118" s="64" t="e">
        <f aca="false">throughput($D118)</f>
        <v>#NAME?</v>
      </c>
      <c r="I118" s="64"/>
      <c r="J118" s="67"/>
      <c r="K118" s="67"/>
      <c r="L118" s="67"/>
      <c r="M118" s="67"/>
      <c r="N118" s="67"/>
      <c r="O118" s="67"/>
      <c r="P118" s="68"/>
      <c r="Q118" s="68"/>
    </row>
    <row collapsed="false" customFormat="false" customHeight="true" hidden="false" ht="12.6" outlineLevel="0" r="119">
      <c r="B119" s="66" t="n">
        <v>12</v>
      </c>
      <c r="C119" s="66"/>
      <c r="D119" s="64" t="n">
        <f aca="false">$I98 +$Q98 + $B119 + $I101 + $Q101 + $I16 + $P16</f>
        <v>55.9954246607914</v>
      </c>
      <c r="E119" s="64"/>
      <c r="F119" s="64"/>
      <c r="G119" s="64"/>
      <c r="H119" s="64" t="e">
        <f aca="false">throughput($D119)</f>
        <v>#NAME?</v>
      </c>
      <c r="I119" s="64"/>
      <c r="J119" s="67"/>
      <c r="K119" s="67"/>
      <c r="L119" s="67" t="n">
        <v>63.2</v>
      </c>
      <c r="M119" s="67"/>
      <c r="N119" s="67" t="n">
        <v>36.8</v>
      </c>
      <c r="O119" s="67"/>
      <c r="P119" s="68" t="n">
        <v>50.5</v>
      </c>
      <c r="Q119" s="68"/>
    </row>
    <row collapsed="false" customFormat="false" customHeight="true" hidden="false" ht="12.6" outlineLevel="0" r="120">
      <c r="B120" s="66" t="n">
        <v>13</v>
      </c>
      <c r="C120" s="66"/>
      <c r="D120" s="64" t="n">
        <f aca="false">$I98 +$Q98 + $B120 + $I101 + $Q101 + $I16 + $P16</f>
        <v>56.9954246607914</v>
      </c>
      <c r="E120" s="64"/>
      <c r="F120" s="64"/>
      <c r="G120" s="64"/>
      <c r="H120" s="64" t="e">
        <f aca="false">throughput($D120)</f>
        <v>#NAME?</v>
      </c>
      <c r="I120" s="64"/>
      <c r="J120" s="67"/>
      <c r="K120" s="67"/>
      <c r="L120" s="67"/>
      <c r="M120" s="67"/>
      <c r="N120" s="67"/>
      <c r="O120" s="67"/>
      <c r="P120" s="68"/>
      <c r="Q120" s="68"/>
    </row>
    <row collapsed="false" customFormat="false" customHeight="true" hidden="false" ht="12.6" outlineLevel="0" r="121">
      <c r="B121" s="66" t="n">
        <v>14</v>
      </c>
      <c r="C121" s="66"/>
      <c r="D121" s="64" t="n">
        <f aca="false">$I98 +$Q98 + $B121 + $I101 + $Q101 + $I16 + $P16</f>
        <v>57.9954246607914</v>
      </c>
      <c r="E121" s="64"/>
      <c r="F121" s="64"/>
      <c r="G121" s="64"/>
      <c r="H121" s="64" t="e">
        <f aca="false">throughput($D121)</f>
        <v>#NAME?</v>
      </c>
      <c r="I121" s="64"/>
      <c r="J121" s="67"/>
      <c r="K121" s="67"/>
      <c r="L121" s="67"/>
      <c r="M121" s="67"/>
      <c r="N121" s="67"/>
      <c r="O121" s="67"/>
      <c r="P121" s="68"/>
      <c r="Q121" s="68"/>
    </row>
    <row collapsed="false" customFormat="false" customHeight="true" hidden="false" ht="12.6" outlineLevel="0" r="122">
      <c r="B122" s="66" t="n">
        <v>15</v>
      </c>
      <c r="C122" s="66"/>
      <c r="D122" s="64" t="n">
        <f aca="false">$I98 +$Q98 + $B122 + $I101 + $Q101 + $I16 + $P16</f>
        <v>58.9954246607914</v>
      </c>
      <c r="E122" s="64"/>
      <c r="F122" s="64"/>
      <c r="G122" s="64"/>
      <c r="H122" s="64" t="e">
        <f aca="false">throughput($D122)</f>
        <v>#NAME?</v>
      </c>
      <c r="I122" s="64"/>
      <c r="J122" s="67"/>
      <c r="K122" s="67"/>
      <c r="L122" s="67"/>
      <c r="M122" s="67"/>
      <c r="N122" s="67"/>
      <c r="O122" s="67"/>
      <c r="P122" s="68"/>
      <c r="Q122" s="68"/>
    </row>
    <row collapsed="false" customFormat="false" customHeight="true" hidden="false" ht="12.6" outlineLevel="0" r="123">
      <c r="B123" s="66" t="n">
        <v>16</v>
      </c>
      <c r="C123" s="66"/>
      <c r="D123" s="64" t="n">
        <f aca="false">$I98 +$Q98 + $B123 + $I101 + $Q101 + $I16 + $P16</f>
        <v>59.9954246607914</v>
      </c>
      <c r="E123" s="64"/>
      <c r="F123" s="64"/>
      <c r="G123" s="64"/>
      <c r="H123" s="64" t="e">
        <f aca="false">throughput($D123)</f>
        <v>#NAME?</v>
      </c>
      <c r="I123" s="64"/>
      <c r="J123" s="67"/>
      <c r="K123" s="67"/>
      <c r="L123" s="67"/>
      <c r="M123" s="67"/>
      <c r="N123" s="67"/>
      <c r="O123" s="67"/>
      <c r="P123" s="68"/>
      <c r="Q123" s="68"/>
    </row>
    <row collapsed="false" customFormat="false" customHeight="true" hidden="false" ht="12.6" outlineLevel="0" r="124">
      <c r="B124" s="66" t="n">
        <v>17</v>
      </c>
      <c r="C124" s="66"/>
      <c r="D124" s="64" t="n">
        <f aca="false">$I98 +$Q98 + $B124 + $I101 + $Q101 + $I16 + $P16</f>
        <v>60.9954246607914</v>
      </c>
      <c r="E124" s="64"/>
      <c r="F124" s="64"/>
      <c r="G124" s="64"/>
      <c r="H124" s="64" t="e">
        <f aca="false">throughput($D124)</f>
        <v>#NAME?</v>
      </c>
      <c r="I124" s="64"/>
      <c r="J124" s="67"/>
      <c r="K124" s="67"/>
      <c r="L124" s="67"/>
      <c r="M124" s="67"/>
      <c r="N124" s="67"/>
      <c r="O124" s="67"/>
      <c r="P124" s="68"/>
      <c r="Q124" s="68"/>
    </row>
    <row collapsed="false" customFormat="false" customHeight="true" hidden="false" ht="12.6" outlineLevel="0" r="125">
      <c r="B125" s="66" t="n">
        <v>18</v>
      </c>
      <c r="C125" s="66"/>
      <c r="D125" s="64" t="n">
        <f aca="false">$I98 +$Q98 + $B125 + $I101 + $Q101 + $I16 + $P16</f>
        <v>61.9954246607914</v>
      </c>
      <c r="E125" s="64"/>
      <c r="F125" s="64"/>
      <c r="G125" s="64"/>
      <c r="H125" s="64" t="e">
        <f aca="false">throughput($D125)</f>
        <v>#NAME?</v>
      </c>
      <c r="I125" s="64"/>
      <c r="J125" s="67"/>
      <c r="K125" s="67"/>
      <c r="L125" s="67" t="n">
        <v>62.4</v>
      </c>
      <c r="M125" s="67"/>
      <c r="N125" s="67" t="n">
        <v>37.5</v>
      </c>
      <c r="O125" s="67"/>
      <c r="P125" s="68" t="n">
        <v>51</v>
      </c>
      <c r="Q125" s="68"/>
    </row>
    <row collapsed="false" customFormat="false" customHeight="true" hidden="false" ht="12.6" outlineLevel="0" r="126">
      <c r="B126" s="66" t="n">
        <v>19</v>
      </c>
      <c r="C126" s="66"/>
      <c r="D126" s="64" t="n">
        <f aca="false">$I98 +$Q98 + $B126 + $I101 + $Q101 + $I16 + $P16</f>
        <v>62.9954246607914</v>
      </c>
      <c r="E126" s="64"/>
      <c r="F126" s="64"/>
      <c r="G126" s="64"/>
      <c r="H126" s="64" t="e">
        <f aca="false">throughput($D126)</f>
        <v>#NAME?</v>
      </c>
      <c r="I126" s="64"/>
      <c r="J126" s="67"/>
      <c r="K126" s="67"/>
      <c r="L126" s="67"/>
      <c r="M126" s="67"/>
      <c r="N126" s="67"/>
      <c r="O126" s="67"/>
      <c r="P126" s="68"/>
      <c r="Q126" s="68"/>
    </row>
    <row collapsed="false" customFormat="false" customHeight="true" hidden="false" ht="12.6" outlineLevel="0" r="127">
      <c r="B127" s="66" t="n">
        <v>20</v>
      </c>
      <c r="C127" s="66"/>
      <c r="D127" s="64" t="n">
        <f aca="false">$I98 +$Q98 + $B127 + $I101 + $Q101 + $I16 + $P16</f>
        <v>63.9954246607914</v>
      </c>
      <c r="E127" s="64"/>
      <c r="F127" s="64"/>
      <c r="G127" s="64"/>
      <c r="H127" s="64" t="e">
        <f aca="false">throughput($D127)</f>
        <v>#NAME?</v>
      </c>
      <c r="I127" s="64"/>
      <c r="J127" s="67"/>
      <c r="K127" s="67"/>
      <c r="L127" s="67"/>
      <c r="M127" s="67"/>
      <c r="N127" s="67"/>
      <c r="O127" s="67"/>
      <c r="P127" s="68"/>
      <c r="Q127" s="68"/>
    </row>
    <row collapsed="false" customFormat="false" customHeight="true" hidden="false" ht="12.6" outlineLevel="0" r="128">
      <c r="B128" s="66" t="n">
        <v>21</v>
      </c>
      <c r="C128" s="66"/>
      <c r="D128" s="64" t="n">
        <f aca="false">$I98 +$Q98 + $B128 + $I101 + $Q101 + $I16 + $P16</f>
        <v>64.9954246607914</v>
      </c>
      <c r="E128" s="64"/>
      <c r="F128" s="64"/>
      <c r="G128" s="64"/>
      <c r="H128" s="64" t="e">
        <f aca="false">throughput($D128)</f>
        <v>#NAME?</v>
      </c>
      <c r="I128" s="64"/>
      <c r="J128" s="67"/>
      <c r="K128" s="67"/>
      <c r="L128" s="67"/>
      <c r="M128" s="67"/>
      <c r="N128" s="67"/>
      <c r="O128" s="67"/>
      <c r="P128" s="68"/>
      <c r="Q128" s="68"/>
    </row>
    <row collapsed="false" customFormat="false" customHeight="true" hidden="false" ht="12.6" outlineLevel="0" r="129">
      <c r="B129" s="66" t="n">
        <v>22</v>
      </c>
      <c r="C129" s="66"/>
      <c r="D129" s="64" t="n">
        <f aca="false">$I98 +$Q98 + $B129 + $I101 + $Q101 + $I16 + $P16</f>
        <v>65.9954246607914</v>
      </c>
      <c r="E129" s="64"/>
      <c r="F129" s="64"/>
      <c r="G129" s="64"/>
      <c r="H129" s="64" t="e">
        <f aca="false">throughput($D129)</f>
        <v>#NAME?</v>
      </c>
      <c r="I129" s="64"/>
      <c r="J129" s="67"/>
      <c r="K129" s="67"/>
      <c r="L129" s="67"/>
      <c r="M129" s="67"/>
      <c r="N129" s="67"/>
      <c r="O129" s="67"/>
      <c r="P129" s="68"/>
      <c r="Q129" s="68"/>
    </row>
    <row collapsed="false" customFormat="false" customHeight="true" hidden="false" ht="12.6" outlineLevel="0" r="130">
      <c r="B130" s="66" t="n">
        <v>23</v>
      </c>
      <c r="C130" s="66"/>
      <c r="D130" s="64" t="n">
        <f aca="false">$I98 +$Q98 + $B130 + $I101 + $Q101 + $I16 + $P16</f>
        <v>66.9954246607914</v>
      </c>
      <c r="E130" s="64"/>
      <c r="F130" s="64"/>
      <c r="G130" s="64"/>
      <c r="H130" s="64" t="e">
        <f aca="false">throughput($D130)</f>
        <v>#NAME?</v>
      </c>
      <c r="I130" s="64"/>
      <c r="J130" s="67"/>
      <c r="K130" s="67"/>
      <c r="L130" s="67"/>
      <c r="M130" s="67"/>
      <c r="N130" s="67"/>
      <c r="O130" s="67"/>
      <c r="P130" s="68"/>
      <c r="Q130" s="68"/>
    </row>
    <row collapsed="false" customFormat="false" customHeight="true" hidden="false" ht="12.6" outlineLevel="0" r="131">
      <c r="B131" s="66" t="n">
        <v>24</v>
      </c>
      <c r="C131" s="66"/>
      <c r="D131" s="64" t="n">
        <f aca="false">$I98 +$Q98 + $B131 + $I101 + $Q101 + $I16 + $P16</f>
        <v>67.9954246607914</v>
      </c>
      <c r="E131" s="64"/>
      <c r="F131" s="64"/>
      <c r="G131" s="64"/>
      <c r="H131" s="64" t="e">
        <f aca="false">throughput($D131)</f>
        <v>#NAME?</v>
      </c>
      <c r="I131" s="64"/>
      <c r="J131" s="67"/>
      <c r="K131" s="67"/>
      <c r="L131" s="67" t="n">
        <v>52</v>
      </c>
      <c r="M131" s="67"/>
      <c r="N131" s="67" t="n">
        <v>0</v>
      </c>
      <c r="O131" s="67"/>
      <c r="P131" s="68" t="n">
        <v>0</v>
      </c>
      <c r="Q131" s="68"/>
    </row>
    <row collapsed="false" customFormat="false" customHeight="true" hidden="false" ht="12.6" outlineLevel="0" r="132">
      <c r="B132" s="66" t="n">
        <v>25</v>
      </c>
      <c r="C132" s="66"/>
      <c r="D132" s="64" t="n">
        <f aca="false">$I98 +$Q98 + $B132 + $I101 + $Q101 + $I16 + $P16</f>
        <v>68.9954246607914</v>
      </c>
      <c r="E132" s="64"/>
      <c r="F132" s="64"/>
      <c r="G132" s="64"/>
      <c r="H132" s="64" t="e">
        <f aca="false">throughput($D132)</f>
        <v>#NAME?</v>
      </c>
      <c r="I132" s="64"/>
      <c r="J132" s="67"/>
      <c r="K132" s="67"/>
      <c r="L132" s="67"/>
      <c r="M132" s="67"/>
      <c r="N132" s="67"/>
      <c r="O132" s="67"/>
      <c r="P132" s="68"/>
      <c r="Q132" s="68"/>
    </row>
    <row collapsed="false" customFormat="false" customHeight="true" hidden="false" ht="12.6" outlineLevel="0" r="133">
      <c r="B133" s="66" t="n">
        <v>26</v>
      </c>
      <c r="C133" s="66"/>
      <c r="D133" s="64" t="n">
        <f aca="false">$I98 +$Q98 + $B133 + $I101 + $Q101 + $I16 + $P16</f>
        <v>69.9954246607914</v>
      </c>
      <c r="E133" s="64"/>
      <c r="F133" s="64"/>
      <c r="G133" s="64"/>
      <c r="H133" s="64" t="e">
        <f aca="false">throughput($D133)</f>
        <v>#NAME?</v>
      </c>
      <c r="I133" s="64"/>
      <c r="J133" s="67"/>
      <c r="K133" s="67"/>
      <c r="L133" s="67"/>
      <c r="M133" s="67"/>
      <c r="N133" s="67"/>
      <c r="O133" s="67"/>
      <c r="P133" s="68"/>
      <c r="Q133" s="68"/>
    </row>
    <row collapsed="false" customFormat="false" customHeight="true" hidden="false" ht="12.6" outlineLevel="0" r="134">
      <c r="B134" s="66" t="n">
        <v>27</v>
      </c>
      <c r="C134" s="66"/>
      <c r="D134" s="64" t="n">
        <f aca="false">$I98 +$Q98 + $B134 + $I101 + $Q101 + $I16 + $P16</f>
        <v>70.9954246607914</v>
      </c>
      <c r="E134" s="64"/>
      <c r="F134" s="64"/>
      <c r="G134" s="64"/>
      <c r="H134" s="64" t="e">
        <f aca="false">throughput($D134)</f>
        <v>#NAME?</v>
      </c>
      <c r="I134" s="64"/>
      <c r="J134" s="67"/>
      <c r="K134" s="67"/>
      <c r="L134" s="67"/>
      <c r="M134" s="67"/>
      <c r="N134" s="67"/>
      <c r="O134" s="67"/>
      <c r="P134" s="68"/>
      <c r="Q134" s="68"/>
    </row>
    <row collapsed="false" customFormat="false" customHeight="true" hidden="false" ht="12.6" outlineLevel="0" r="135">
      <c r="B135" s="66" t="n">
        <v>28</v>
      </c>
      <c r="C135" s="66"/>
      <c r="D135" s="64" t="n">
        <f aca="false">$I98 +$Q98 + $B135 + $I101 + $Q101 + $I16 + $P16</f>
        <v>71.9954246607914</v>
      </c>
      <c r="E135" s="64"/>
      <c r="F135" s="64"/>
      <c r="G135" s="64"/>
      <c r="H135" s="64" t="e">
        <f aca="false">throughput($D135)</f>
        <v>#NAME?</v>
      </c>
      <c r="I135" s="64"/>
      <c r="J135" s="67"/>
      <c r="K135" s="67"/>
      <c r="L135" s="67"/>
      <c r="M135" s="67"/>
      <c r="N135" s="67"/>
      <c r="O135" s="67"/>
      <c r="P135" s="68"/>
      <c r="Q135" s="68"/>
    </row>
    <row collapsed="false" customFormat="false" customHeight="true" hidden="false" ht="12.6" outlineLevel="0" r="136">
      <c r="B136" s="66" t="n">
        <v>29</v>
      </c>
      <c r="C136" s="66"/>
      <c r="D136" s="64" t="n">
        <f aca="false">$I98 +$Q98 + $B136 + $I101 + $Q101 + $I16 + $P16</f>
        <v>72.9954246607914</v>
      </c>
      <c r="E136" s="64"/>
      <c r="F136" s="64"/>
      <c r="G136" s="64"/>
      <c r="H136" s="64" t="e">
        <f aca="false">throughput($D136)</f>
        <v>#NAME?</v>
      </c>
      <c r="I136" s="64"/>
      <c r="J136" s="67"/>
      <c r="K136" s="67"/>
      <c r="L136" s="67"/>
      <c r="M136" s="67"/>
      <c r="N136" s="67"/>
      <c r="O136" s="67"/>
      <c r="P136" s="68"/>
      <c r="Q136" s="68"/>
    </row>
    <row collapsed="false" customFormat="false" customHeight="true" hidden="false" ht="12.6" outlineLevel="0" r="137">
      <c r="B137" s="66" t="n">
        <v>30</v>
      </c>
      <c r="C137" s="66"/>
      <c r="D137" s="64" t="n">
        <f aca="false">$I98 +$Q98 + $B137 + $I101 + $Q101 + $I16 + $P16</f>
        <v>73.9954246607914</v>
      </c>
      <c r="E137" s="64"/>
      <c r="F137" s="64"/>
      <c r="G137" s="64"/>
      <c r="H137" s="64" t="e">
        <f aca="false">throughput($D137)</f>
        <v>#NAME?</v>
      </c>
      <c r="I137" s="64"/>
      <c r="J137" s="67"/>
      <c r="K137" s="67"/>
      <c r="L137" s="67" t="n">
        <v>52.4</v>
      </c>
      <c r="M137" s="67"/>
      <c r="N137" s="67" t="n">
        <v>31.5</v>
      </c>
      <c r="O137" s="67"/>
      <c r="P137" s="68" t="n">
        <v>44.4</v>
      </c>
      <c r="Q137" s="68"/>
    </row>
    <row collapsed="false" customFormat="false" customHeight="true" hidden="false" ht="12.6" outlineLevel="0" r="138">
      <c r="B138" s="66" t="n">
        <v>31</v>
      </c>
      <c r="C138" s="66"/>
      <c r="D138" s="64" t="n">
        <f aca="false">$I98 +$Q98 + $B138 + $I101 + $Q101 + $I16 + $P16</f>
        <v>74.9954246607914</v>
      </c>
      <c r="E138" s="64"/>
      <c r="F138" s="64"/>
      <c r="G138" s="64"/>
      <c r="H138" s="64" t="e">
        <f aca="false">throughput($D138)</f>
        <v>#NAME?</v>
      </c>
      <c r="I138" s="64"/>
      <c r="J138" s="67"/>
      <c r="K138" s="67"/>
      <c r="L138" s="67"/>
      <c r="M138" s="67"/>
      <c r="N138" s="67"/>
      <c r="O138" s="67"/>
      <c r="P138" s="68"/>
      <c r="Q138" s="68"/>
    </row>
    <row collapsed="false" customFormat="false" customHeight="true" hidden="false" ht="12.6" outlineLevel="0" r="139">
      <c r="B139" s="66" t="n">
        <v>32</v>
      </c>
      <c r="C139" s="66"/>
      <c r="D139" s="64" t="n">
        <f aca="false">$I98 +$Q98 + $B139 + $I101 + $Q101 + $I16 + $P16</f>
        <v>75.9954246607914</v>
      </c>
      <c r="E139" s="64"/>
      <c r="F139" s="64"/>
      <c r="G139" s="64"/>
      <c r="H139" s="64" t="e">
        <f aca="false">throughput($D139)</f>
        <v>#NAME?</v>
      </c>
      <c r="I139" s="64"/>
      <c r="J139" s="67"/>
      <c r="K139" s="67"/>
      <c r="L139" s="67"/>
      <c r="M139" s="67"/>
      <c r="N139" s="67"/>
      <c r="O139" s="67"/>
      <c r="P139" s="68"/>
      <c r="Q139" s="68"/>
    </row>
    <row collapsed="false" customFormat="false" customHeight="true" hidden="false" ht="12.6" outlineLevel="0" r="140">
      <c r="B140" s="66" t="n">
        <v>33</v>
      </c>
      <c r="C140" s="66"/>
      <c r="D140" s="64" t="n">
        <f aca="false">$I98 +$Q98 + $B140 + $I101 + $Q101 + $I16 + $P16</f>
        <v>76.9954246607914</v>
      </c>
      <c r="E140" s="64"/>
      <c r="F140" s="64"/>
      <c r="G140" s="64"/>
      <c r="H140" s="64" t="e">
        <f aca="false">throughput($D140)</f>
        <v>#NAME?</v>
      </c>
      <c r="I140" s="64"/>
      <c r="J140" s="67"/>
      <c r="K140" s="67"/>
      <c r="L140" s="67"/>
      <c r="M140" s="67"/>
      <c r="N140" s="67"/>
      <c r="O140" s="67"/>
      <c r="P140" s="68"/>
      <c r="Q140" s="68"/>
    </row>
    <row collapsed="false" customFormat="false" customHeight="true" hidden="false" ht="12.6" outlineLevel="0" r="141">
      <c r="B141" s="66" t="n">
        <v>34</v>
      </c>
      <c r="C141" s="66"/>
      <c r="D141" s="64" t="n">
        <f aca="false">$I98 +$Q98 + $B141 + $I101 + $Q101 + $I16 + $P16</f>
        <v>77.9954246607914</v>
      </c>
      <c r="E141" s="64"/>
      <c r="F141" s="64"/>
      <c r="G141" s="64"/>
      <c r="H141" s="64" t="e">
        <f aca="false">throughput($D141)</f>
        <v>#NAME?</v>
      </c>
      <c r="I141" s="64"/>
      <c r="J141" s="67"/>
      <c r="K141" s="67"/>
      <c r="L141" s="67"/>
      <c r="M141" s="67"/>
      <c r="N141" s="67"/>
      <c r="O141" s="67"/>
      <c r="P141" s="68"/>
      <c r="Q141" s="68"/>
    </row>
    <row collapsed="false" customFormat="false" customHeight="true" hidden="false" ht="12.6" outlineLevel="0" r="142">
      <c r="B142" s="66" t="n">
        <v>35</v>
      </c>
      <c r="C142" s="66"/>
      <c r="D142" s="64" t="n">
        <f aca="false">$I98 +$Q98 + $B142 + $I101 + $Q101 + $I16 + $P16</f>
        <v>78.9954246607914</v>
      </c>
      <c r="E142" s="64"/>
      <c r="F142" s="64"/>
      <c r="G142" s="64"/>
      <c r="H142" s="64" t="e">
        <f aca="false">throughput($D142)</f>
        <v>#NAME?</v>
      </c>
      <c r="I142" s="64"/>
      <c r="J142" s="67"/>
      <c r="K142" s="67"/>
      <c r="L142" s="67"/>
      <c r="M142" s="67"/>
      <c r="N142" s="67"/>
      <c r="O142" s="67"/>
      <c r="P142" s="68"/>
      <c r="Q142" s="68"/>
    </row>
    <row collapsed="false" customFormat="false" customHeight="true" hidden="false" ht="12.6" outlineLevel="0" r="143">
      <c r="B143" s="66" t="n">
        <v>36</v>
      </c>
      <c r="C143" s="66"/>
      <c r="D143" s="64" t="n">
        <f aca="false">$I98 +$Q98 + $B143 + $I101 + $Q101 + $I16 + $P16</f>
        <v>79.9954246607914</v>
      </c>
      <c r="E143" s="64"/>
      <c r="F143" s="64"/>
      <c r="G143" s="64"/>
      <c r="H143" s="64" t="e">
        <f aca="false">throughput($D143)</f>
        <v>#NAME?</v>
      </c>
      <c r="I143" s="64"/>
      <c r="J143" s="67"/>
      <c r="K143" s="67"/>
      <c r="L143" s="67" t="n">
        <v>39.1</v>
      </c>
      <c r="M143" s="67"/>
      <c r="N143" s="67" t="n">
        <v>25.4</v>
      </c>
      <c r="O143" s="67"/>
      <c r="P143" s="68" t="n">
        <v>33</v>
      </c>
      <c r="Q143" s="68"/>
    </row>
    <row collapsed="false" customFormat="false" customHeight="true" hidden="false" ht="12.6" outlineLevel="0" r="144">
      <c r="B144" s="66" t="n">
        <v>37</v>
      </c>
      <c r="C144" s="66"/>
      <c r="D144" s="64" t="n">
        <f aca="false">$I98 +$Q98 + $B144 + $I101 + $Q101 + $I16 + $P16</f>
        <v>80.9954246607914</v>
      </c>
      <c r="E144" s="64"/>
      <c r="F144" s="64"/>
      <c r="G144" s="64"/>
      <c r="H144" s="64" t="e">
        <f aca="false">throughput($D144)</f>
        <v>#NAME?</v>
      </c>
      <c r="I144" s="64"/>
      <c r="J144" s="67"/>
      <c r="K144" s="67"/>
      <c r="L144" s="67"/>
      <c r="M144" s="67"/>
      <c r="N144" s="67"/>
      <c r="O144" s="67"/>
      <c r="P144" s="68"/>
      <c r="Q144" s="68"/>
    </row>
    <row collapsed="false" customFormat="false" customHeight="true" hidden="false" ht="12.6" outlineLevel="0" r="145">
      <c r="B145" s="66" t="n">
        <v>38</v>
      </c>
      <c r="C145" s="66"/>
      <c r="D145" s="64" t="n">
        <f aca="false">$I98 +$Q98 + $B145 + $I101 + $Q101 + $I16 + $P16</f>
        <v>81.9954246607914</v>
      </c>
      <c r="E145" s="64"/>
      <c r="F145" s="64"/>
      <c r="G145" s="64"/>
      <c r="H145" s="64" t="e">
        <f aca="false">throughput($D145)</f>
        <v>#NAME?</v>
      </c>
      <c r="I145" s="64"/>
      <c r="J145" s="67"/>
      <c r="K145" s="67"/>
      <c r="L145" s="67"/>
      <c r="M145" s="67"/>
      <c r="N145" s="67"/>
      <c r="O145" s="67"/>
      <c r="P145" s="68"/>
      <c r="Q145" s="68"/>
    </row>
    <row collapsed="false" customFormat="false" customHeight="true" hidden="false" ht="12.6" outlineLevel="0" r="146">
      <c r="B146" s="66" t="n">
        <v>39</v>
      </c>
      <c r="C146" s="66"/>
      <c r="D146" s="64" t="n">
        <f aca="false">$I98 +$Q98 + $B146 + $I101 + $Q101 + $I16 + $P16</f>
        <v>82.9954246607914</v>
      </c>
      <c r="E146" s="64"/>
      <c r="F146" s="64"/>
      <c r="G146" s="64"/>
      <c r="H146" s="64" t="e">
        <f aca="false">throughput($D146)</f>
        <v>#NAME?</v>
      </c>
      <c r="I146" s="64"/>
      <c r="J146" s="67"/>
      <c r="K146" s="67"/>
      <c r="L146" s="67"/>
      <c r="M146" s="67"/>
      <c r="N146" s="67"/>
      <c r="O146" s="67"/>
      <c r="P146" s="68"/>
      <c r="Q146" s="68"/>
    </row>
    <row collapsed="false" customFormat="false" customHeight="true" hidden="false" ht="12.6" outlineLevel="0" r="147">
      <c r="B147" s="66" t="n">
        <v>40</v>
      </c>
      <c r="C147" s="66"/>
      <c r="D147" s="64" t="n">
        <f aca="false">$I98 +$Q98 + $B147 + $I101 + $Q101 + $I16 + $P16</f>
        <v>83.9954246607914</v>
      </c>
      <c r="E147" s="64"/>
      <c r="F147" s="64"/>
      <c r="G147" s="64"/>
      <c r="H147" s="64" t="e">
        <f aca="false">throughput($D147)</f>
        <v>#NAME?</v>
      </c>
      <c r="I147" s="64"/>
      <c r="J147" s="67"/>
      <c r="K147" s="67"/>
      <c r="L147" s="67"/>
      <c r="M147" s="67"/>
      <c r="N147" s="67"/>
      <c r="O147" s="67"/>
      <c r="P147" s="68"/>
      <c r="Q147" s="68"/>
    </row>
    <row collapsed="false" customFormat="false" customHeight="true" hidden="false" ht="12.6" outlineLevel="0" r="148">
      <c r="B148" s="66" t="n">
        <v>41</v>
      </c>
      <c r="C148" s="66"/>
      <c r="D148" s="64" t="n">
        <f aca="false">$I98 +$Q98 + $B148 + $I101 + $Q101 + $I16 + $P16</f>
        <v>84.9954246607914</v>
      </c>
      <c r="E148" s="64"/>
      <c r="F148" s="64"/>
      <c r="G148" s="64"/>
      <c r="H148" s="64" t="e">
        <f aca="false">throughput($D148)</f>
        <v>#NAME?</v>
      </c>
      <c r="I148" s="64"/>
      <c r="J148" s="67"/>
      <c r="K148" s="67"/>
      <c r="L148" s="67"/>
      <c r="M148" s="67"/>
      <c r="N148" s="67"/>
      <c r="O148" s="67"/>
      <c r="P148" s="68"/>
      <c r="Q148" s="68"/>
    </row>
    <row collapsed="false" customFormat="false" customHeight="true" hidden="false" ht="12.6" outlineLevel="0" r="149">
      <c r="B149" s="66" t="n">
        <v>42</v>
      </c>
      <c r="C149" s="66"/>
      <c r="D149" s="64" t="n">
        <f aca="false">$I98 +$Q98 + $B149 + $I101 + $Q101 + $I16 + $P16</f>
        <v>85.9954246607914</v>
      </c>
      <c r="E149" s="64"/>
      <c r="F149" s="64"/>
      <c r="G149" s="64"/>
      <c r="H149" s="64" t="e">
        <f aca="false">throughput($D149)</f>
        <v>#NAME?</v>
      </c>
      <c r="I149" s="64"/>
      <c r="J149" s="67"/>
      <c r="K149" s="67"/>
      <c r="L149" s="67" t="n">
        <v>16.5</v>
      </c>
      <c r="M149" s="67"/>
      <c r="N149" s="67" t="n">
        <v>3.8</v>
      </c>
      <c r="O149" s="67"/>
      <c r="P149" s="68" t="n">
        <v>10.7</v>
      </c>
      <c r="Q149" s="68"/>
    </row>
    <row collapsed="false" customFormat="false" customHeight="true" hidden="false" ht="12.6" outlineLevel="0" r="150">
      <c r="B150" s="66" t="n">
        <v>43</v>
      </c>
      <c r="C150" s="66"/>
      <c r="D150" s="64" t="n">
        <f aca="false">$I98 +$Q98 + $B150 + $I101 + $Q101 + $I16 + $P16</f>
        <v>86.9954246607914</v>
      </c>
      <c r="E150" s="64"/>
      <c r="F150" s="64"/>
      <c r="G150" s="64"/>
      <c r="H150" s="64" t="e">
        <f aca="false">throughput($D150)</f>
        <v>#NAME?</v>
      </c>
      <c r="I150" s="64"/>
      <c r="J150" s="67"/>
      <c r="K150" s="67"/>
      <c r="L150" s="67"/>
      <c r="M150" s="67"/>
      <c r="N150" s="67"/>
      <c r="O150" s="67"/>
      <c r="P150" s="68"/>
      <c r="Q150" s="68"/>
    </row>
    <row collapsed="false" customFormat="false" customHeight="true" hidden="false" ht="12.6" outlineLevel="0" r="151">
      <c r="B151" s="66" t="n">
        <v>44</v>
      </c>
      <c r="C151" s="66"/>
      <c r="D151" s="64" t="n">
        <f aca="false">$I98 +$Q98 + $B151 + $I101 + $Q101 + $I16 + $P16</f>
        <v>87.9954246607914</v>
      </c>
      <c r="E151" s="64"/>
      <c r="F151" s="64"/>
      <c r="G151" s="64"/>
      <c r="H151" s="64" t="e">
        <f aca="false">throughput($D151)</f>
        <v>#NAME?</v>
      </c>
      <c r="I151" s="64"/>
      <c r="J151" s="67"/>
      <c r="K151" s="67"/>
      <c r="L151" s="67"/>
      <c r="M151" s="67"/>
      <c r="N151" s="67"/>
      <c r="O151" s="67"/>
      <c r="P151" s="68"/>
      <c r="Q151" s="68"/>
    </row>
    <row collapsed="false" customFormat="false" customHeight="true" hidden="false" ht="12.6" outlineLevel="0" r="152">
      <c r="B152" s="66" t="n">
        <v>45</v>
      </c>
      <c r="C152" s="66"/>
      <c r="D152" s="64" t="n">
        <f aca="false">$I98 +$Q98 + $B152 + $I101 + $Q101 + $I16 + $P16</f>
        <v>88.9954246607914</v>
      </c>
      <c r="E152" s="64"/>
      <c r="F152" s="64"/>
      <c r="G152" s="64"/>
      <c r="H152" s="64" t="e">
        <f aca="false">throughput($D152)</f>
        <v>#NAME?</v>
      </c>
      <c r="I152" s="64"/>
      <c r="J152" s="67"/>
      <c r="K152" s="67"/>
      <c r="L152" s="67"/>
      <c r="M152" s="67"/>
      <c r="N152" s="67"/>
      <c r="O152" s="67"/>
      <c r="P152" s="68"/>
      <c r="Q152" s="68"/>
    </row>
    <row collapsed="false" customFormat="false" customHeight="true" hidden="false" ht="12.6" outlineLevel="0" r="153">
      <c r="B153" s="66" t="n">
        <v>46</v>
      </c>
      <c r="C153" s="66"/>
      <c r="D153" s="64" t="n">
        <f aca="false">$I98 +$Q98 + $B153 + $I101 + $Q101 + $I16 + $P16</f>
        <v>89.9954246607914</v>
      </c>
      <c r="E153" s="64"/>
      <c r="F153" s="64"/>
      <c r="G153" s="64"/>
      <c r="H153" s="64" t="e">
        <f aca="false">throughput($D153)</f>
        <v>#NAME?</v>
      </c>
      <c r="I153" s="64"/>
      <c r="J153" s="67"/>
      <c r="K153" s="67"/>
      <c r="L153" s="67"/>
      <c r="M153" s="67"/>
      <c r="N153" s="67"/>
      <c r="O153" s="67"/>
      <c r="P153" s="68"/>
      <c r="Q153" s="68"/>
    </row>
    <row collapsed="false" customFormat="false" customHeight="true" hidden="false" ht="12.6" outlineLevel="0" r="154">
      <c r="B154" s="66" t="n">
        <v>47</v>
      </c>
      <c r="C154" s="66"/>
      <c r="D154" s="64" t="n">
        <f aca="false">$I98 +$Q98 + $B154 + $I101 + $Q101 + $I16 + $P16</f>
        <v>90.9954246607914</v>
      </c>
      <c r="E154" s="64"/>
      <c r="F154" s="64"/>
      <c r="G154" s="64"/>
      <c r="H154" s="64" t="e">
        <f aca="false">throughput($D154)</f>
        <v>#NAME?</v>
      </c>
      <c r="I154" s="64"/>
      <c r="J154" s="67"/>
      <c r="K154" s="67"/>
      <c r="L154" s="67"/>
      <c r="M154" s="67"/>
      <c r="N154" s="67"/>
      <c r="O154" s="67"/>
      <c r="P154" s="68"/>
      <c r="Q154" s="68"/>
    </row>
    <row collapsed="false" customFormat="false" customHeight="true" hidden="false" ht="12.6" outlineLevel="0" r="155">
      <c r="B155" s="66" t="n">
        <v>48</v>
      </c>
      <c r="C155" s="66"/>
      <c r="D155" s="64" t="n">
        <f aca="false">$I98 +$Q98 + $B155 + $I101 + $Q101 + $I16 + $P16</f>
        <v>91.9954246607914</v>
      </c>
      <c r="E155" s="64"/>
      <c r="F155" s="64"/>
      <c r="G155" s="64"/>
      <c r="H155" s="64" t="e">
        <f aca="false">throughput($D155)</f>
        <v>#NAME?</v>
      </c>
      <c r="I155" s="64"/>
      <c r="J155" s="67"/>
      <c r="K155" s="67"/>
      <c r="L155" s="67" t="n">
        <v>3.93</v>
      </c>
      <c r="M155" s="67"/>
      <c r="N155" s="67" t="n">
        <v>1.18</v>
      </c>
      <c r="O155" s="67"/>
      <c r="P155" s="68" t="n">
        <v>2.36</v>
      </c>
      <c r="Q155" s="68"/>
    </row>
    <row collapsed="false" customFormat="false" customHeight="true" hidden="false" ht="12.6" outlineLevel="0" r="156">
      <c r="B156" s="66" t="n">
        <v>49</v>
      </c>
      <c r="C156" s="66"/>
      <c r="D156" s="64" t="n">
        <f aca="false">$I98 +$Q98 + $B156 + $I101 + $Q101 + $I16 + $P16</f>
        <v>92.9954246607914</v>
      </c>
      <c r="E156" s="64"/>
      <c r="F156" s="64"/>
      <c r="G156" s="64"/>
      <c r="H156" s="64" t="e">
        <f aca="false">throughput($D156)</f>
        <v>#NAME?</v>
      </c>
      <c r="I156" s="64"/>
      <c r="J156" s="67"/>
      <c r="K156" s="67"/>
      <c r="L156" s="67"/>
      <c r="M156" s="67"/>
      <c r="N156" s="67"/>
      <c r="O156" s="67"/>
      <c r="P156" s="68"/>
      <c r="Q156" s="68"/>
    </row>
    <row collapsed="false" customFormat="false" customHeight="true" hidden="false" ht="12.6" outlineLevel="0" r="157">
      <c r="B157" s="66" t="n">
        <v>50</v>
      </c>
      <c r="C157" s="66"/>
      <c r="D157" s="64" t="n">
        <f aca="false">$I98 +$Q98 + $B157 + $I101 + $Q101 + $I16 + $P16</f>
        <v>93.9954246607914</v>
      </c>
      <c r="E157" s="64"/>
      <c r="F157" s="64"/>
      <c r="G157" s="64"/>
      <c r="H157" s="64" t="e">
        <f aca="false">throughput($D157)</f>
        <v>#NAME?</v>
      </c>
      <c r="I157" s="64"/>
      <c r="J157" s="67"/>
      <c r="K157" s="67"/>
      <c r="L157" s="67"/>
      <c r="M157" s="67"/>
      <c r="N157" s="67"/>
      <c r="O157" s="67"/>
      <c r="P157" s="68"/>
      <c r="Q157" s="68"/>
    </row>
    <row collapsed="false" customFormat="false" customHeight="true" hidden="false" ht="12.6" outlineLevel="0" r="158">
      <c r="B158" s="66" t="n">
        <v>51</v>
      </c>
      <c r="C158" s="66"/>
      <c r="D158" s="64" t="n">
        <f aca="false">$I98 +$Q98 + $B158 + $I101 + $Q101 + $I16 + $P16</f>
        <v>94.9954246607914</v>
      </c>
      <c r="E158" s="64"/>
      <c r="F158" s="64"/>
      <c r="G158" s="64"/>
      <c r="H158" s="64" t="e">
        <f aca="false">throughput($D158)</f>
        <v>#NAME?</v>
      </c>
      <c r="I158" s="64"/>
      <c r="J158" s="67"/>
      <c r="K158" s="67"/>
      <c r="L158" s="67"/>
      <c r="M158" s="67"/>
      <c r="N158" s="67"/>
      <c r="O158" s="67"/>
      <c r="P158" s="68"/>
      <c r="Q158" s="68"/>
    </row>
    <row collapsed="false" customFormat="false" customHeight="true" hidden="false" ht="12.6" outlineLevel="0" r="159">
      <c r="B159" s="66" t="n">
        <v>52</v>
      </c>
      <c r="C159" s="66"/>
      <c r="D159" s="64" t="n">
        <f aca="false">$I98 +$Q98 + $B159 + $I101 + $Q101 + $I16 + $P16</f>
        <v>95.9954246607914</v>
      </c>
      <c r="E159" s="64"/>
      <c r="F159" s="64"/>
      <c r="G159" s="64"/>
      <c r="H159" s="64" t="e">
        <f aca="false">throughput($D159)</f>
        <v>#NAME?</v>
      </c>
      <c r="I159" s="64"/>
      <c r="J159" s="67"/>
      <c r="K159" s="67"/>
      <c r="L159" s="67"/>
      <c r="M159" s="67"/>
      <c r="N159" s="67"/>
      <c r="O159" s="67"/>
      <c r="P159" s="68"/>
      <c r="Q159" s="68"/>
    </row>
    <row collapsed="false" customFormat="false" customHeight="true" hidden="false" ht="12.6" outlineLevel="0" r="160">
      <c r="B160" s="66" t="n">
        <v>53</v>
      </c>
      <c r="C160" s="66"/>
      <c r="D160" s="64" t="n">
        <f aca="false">$I98 +$Q98 + $B160 + $I101 + $Q101 + $I16 + $P16</f>
        <v>96.9954246607914</v>
      </c>
      <c r="E160" s="64"/>
      <c r="F160" s="64"/>
      <c r="G160" s="64"/>
      <c r="H160" s="64" t="e">
        <f aca="false">throughput($D160)</f>
        <v>#NAME?</v>
      </c>
      <c r="I160" s="64"/>
      <c r="J160" s="67"/>
      <c r="K160" s="67"/>
      <c r="L160" s="67"/>
      <c r="M160" s="67"/>
      <c r="N160" s="67"/>
      <c r="O160" s="67"/>
      <c r="P160" s="68"/>
      <c r="Q160" s="68"/>
    </row>
    <row collapsed="false" customFormat="false" customHeight="true" hidden="false" ht="12.6" outlineLevel="0" r="161">
      <c r="B161" s="66" t="n">
        <v>54</v>
      </c>
      <c r="C161" s="66"/>
      <c r="D161" s="64" t="n">
        <f aca="false">$I98 +$Q98 + $B161 + $I101 + $Q101 + $I16 + $P16</f>
        <v>97.9954246607914</v>
      </c>
      <c r="E161" s="64"/>
      <c r="F161" s="64"/>
      <c r="G161" s="64"/>
      <c r="H161" s="64" t="e">
        <f aca="false">throughput($D161)</f>
        <v>#NAME?</v>
      </c>
      <c r="I161" s="64"/>
      <c r="J161" s="67"/>
      <c r="K161" s="67"/>
      <c r="L161" s="67"/>
      <c r="M161" s="67"/>
      <c r="N161" s="67"/>
      <c r="O161" s="67"/>
      <c r="P161" s="68"/>
      <c r="Q161" s="68"/>
    </row>
    <row collapsed="false" customFormat="false" customHeight="true" hidden="false" ht="12.6" outlineLevel="0" r="162">
      <c r="B162" s="66" t="n">
        <v>55</v>
      </c>
      <c r="C162" s="66"/>
      <c r="D162" s="64" t="n">
        <f aca="false">$I98 +$Q98 + $B162 + $I101 + $Q101 + $I16 + $P16</f>
        <v>98.9954246607914</v>
      </c>
      <c r="E162" s="64"/>
      <c r="F162" s="64"/>
      <c r="G162" s="64"/>
      <c r="H162" s="64" t="e">
        <f aca="false">throughput($D162)</f>
        <v>#NAME?</v>
      </c>
      <c r="I162" s="64"/>
      <c r="J162" s="67"/>
      <c r="K162" s="67"/>
      <c r="L162" s="67"/>
      <c r="M162" s="67"/>
      <c r="N162" s="67"/>
      <c r="O162" s="67"/>
      <c r="P162" s="68"/>
      <c r="Q162" s="68"/>
    </row>
    <row collapsed="false" customFormat="false" customHeight="true" hidden="false" ht="12.6" outlineLevel="0" r="163">
      <c r="B163" s="66" t="n">
        <v>56</v>
      </c>
      <c r="C163" s="66"/>
      <c r="D163" s="64" t="n">
        <f aca="false">$I98 +$Q98 + $B163 + $I101 + $Q101 + $I16 + $P16</f>
        <v>99.9954246607914</v>
      </c>
      <c r="E163" s="64"/>
      <c r="F163" s="64"/>
      <c r="G163" s="64"/>
      <c r="H163" s="64" t="e">
        <f aca="false">throughput($D163)</f>
        <v>#NAME?</v>
      </c>
      <c r="I163" s="64"/>
      <c r="J163" s="67"/>
      <c r="K163" s="67"/>
      <c r="L163" s="67"/>
      <c r="M163" s="67"/>
      <c r="N163" s="67"/>
      <c r="O163" s="67"/>
      <c r="P163" s="68"/>
      <c r="Q163" s="68"/>
    </row>
    <row collapsed="false" customFormat="false" customHeight="true" hidden="false" ht="12.6" outlineLevel="0" r="164">
      <c r="B164" s="66" t="n">
        <v>57</v>
      </c>
      <c r="C164" s="66"/>
      <c r="D164" s="64" t="n">
        <f aca="false">$I98 +$Q98 + $B164 + $I101 + $Q101 + $I16 + $P16</f>
        <v>100.995424660791</v>
      </c>
      <c r="E164" s="64"/>
      <c r="F164" s="64"/>
      <c r="G164" s="64"/>
      <c r="H164" s="64" t="e">
        <f aca="false">throughput($D164)</f>
        <v>#NAME?</v>
      </c>
      <c r="I164" s="64"/>
      <c r="J164" s="67"/>
      <c r="K164" s="67"/>
      <c r="L164" s="67"/>
      <c r="M164" s="67"/>
      <c r="N164" s="67"/>
      <c r="O164" s="67"/>
      <c r="P164" s="68"/>
      <c r="Q164" s="68"/>
    </row>
    <row collapsed="false" customFormat="false" customHeight="true" hidden="false" ht="12.6" outlineLevel="0" r="165">
      <c r="B165" s="66" t="n">
        <v>58</v>
      </c>
      <c r="C165" s="66"/>
      <c r="D165" s="64" t="n">
        <f aca="false">$I98 +$Q98 + $B165 + $I101 + $Q101 + $I16 + $P16</f>
        <v>101.995424660791</v>
      </c>
      <c r="E165" s="64"/>
      <c r="F165" s="64"/>
      <c r="G165" s="64"/>
      <c r="H165" s="64" t="e">
        <f aca="false">throughput($D165)</f>
        <v>#NAME?</v>
      </c>
      <c r="I165" s="64"/>
      <c r="J165" s="67"/>
      <c r="K165" s="67"/>
      <c r="L165" s="67"/>
      <c r="M165" s="67"/>
      <c r="N165" s="67"/>
      <c r="O165" s="67"/>
      <c r="P165" s="68"/>
      <c r="Q165" s="68"/>
    </row>
    <row collapsed="false" customFormat="false" customHeight="true" hidden="false" ht="12.6" outlineLevel="0" r="166">
      <c r="B166" s="66" t="n">
        <v>59</v>
      </c>
      <c r="C166" s="66"/>
      <c r="D166" s="64" t="n">
        <f aca="false">$I98 +$Q98 + $B166 + $I101 + $Q101 + $I16 + $P16</f>
        <v>102.995424660791</v>
      </c>
      <c r="E166" s="64"/>
      <c r="F166" s="64"/>
      <c r="G166" s="64"/>
      <c r="H166" s="64" t="e">
        <f aca="false">throughput($D166)</f>
        <v>#NAME?</v>
      </c>
      <c r="I166" s="64"/>
      <c r="J166" s="67"/>
      <c r="K166" s="67"/>
      <c r="L166" s="67"/>
      <c r="M166" s="67"/>
      <c r="N166" s="67"/>
      <c r="O166" s="67"/>
      <c r="P166" s="68"/>
      <c r="Q166" s="68"/>
    </row>
    <row collapsed="false" customFormat="false" customHeight="true" hidden="false" ht="12.6" outlineLevel="0" r="167">
      <c r="B167" s="66" t="n">
        <v>60</v>
      </c>
      <c r="C167" s="66"/>
      <c r="D167" s="64" t="n">
        <f aca="false">$I98 +$Q98 + $B167 + $I101 + $Q101 + $I16 + $P16</f>
        <v>103.995424660791</v>
      </c>
      <c r="E167" s="64"/>
      <c r="F167" s="64"/>
      <c r="G167" s="64"/>
      <c r="H167" s="64" t="e">
        <f aca="false">throughput($D167)</f>
        <v>#NAME?</v>
      </c>
      <c r="I167" s="64"/>
      <c r="J167" s="67"/>
      <c r="K167" s="67"/>
      <c r="L167" s="67"/>
      <c r="M167" s="67"/>
      <c r="N167" s="67"/>
      <c r="O167" s="67"/>
      <c r="P167" s="68"/>
      <c r="Q167" s="68"/>
    </row>
    <row collapsed="false" customFormat="false" customHeight="true" hidden="false" ht="12.6" outlineLevel="0" r="168">
      <c r="B168" s="66" t="n">
        <v>61</v>
      </c>
      <c r="C168" s="66"/>
      <c r="D168" s="64" t="n">
        <f aca="false">$I98 +$Q98 + $B168 + $I101 + $Q101 + $I16 + $P16</f>
        <v>104.995424660791</v>
      </c>
      <c r="E168" s="64"/>
      <c r="F168" s="64"/>
      <c r="G168" s="64"/>
      <c r="H168" s="64" t="e">
        <f aca="false">throughput($D168)</f>
        <v>#NAME?</v>
      </c>
      <c r="I168" s="64"/>
      <c r="J168" s="67"/>
      <c r="K168" s="67"/>
      <c r="L168" s="67"/>
      <c r="M168" s="67"/>
      <c r="N168" s="67"/>
      <c r="O168" s="67"/>
      <c r="P168" s="68"/>
      <c r="Q168" s="68"/>
    </row>
    <row collapsed="false" customFormat="false" customHeight="true" hidden="false" ht="12.6" outlineLevel="0" r="169">
      <c r="B169" s="66" t="n">
        <v>62</v>
      </c>
      <c r="C169" s="66"/>
      <c r="D169" s="64" t="n">
        <f aca="false">$I98 +$Q98 + $B169 + $I101 + $Q101 + $I16 + $P16</f>
        <v>105.995424660791</v>
      </c>
      <c r="E169" s="64"/>
      <c r="F169" s="64"/>
      <c r="G169" s="64"/>
      <c r="H169" s="64" t="e">
        <f aca="false">throughput($D169)</f>
        <v>#NAME?</v>
      </c>
      <c r="I169" s="64"/>
      <c r="J169" s="67"/>
      <c r="K169" s="67"/>
      <c r="L169" s="67"/>
      <c r="M169" s="67"/>
      <c r="N169" s="67"/>
      <c r="O169" s="67"/>
      <c r="P169" s="68"/>
      <c r="Q169" s="68"/>
    </row>
    <row collapsed="false" customFormat="false" customHeight="true" hidden="false" ht="12.6" outlineLevel="0" r="170">
      <c r="B170" s="66" t="n">
        <v>63</v>
      </c>
      <c r="C170" s="66"/>
      <c r="D170" s="64" t="n">
        <f aca="false">$I98 +$Q98 + $B170 + $I101 + $Q101 + $I16 + $P16</f>
        <v>106.995424660791</v>
      </c>
      <c r="E170" s="64"/>
      <c r="F170" s="64"/>
      <c r="G170" s="64"/>
      <c r="H170" s="64" t="e">
        <f aca="false">throughput($D170)</f>
        <v>#NAME?</v>
      </c>
      <c r="I170" s="64"/>
      <c r="J170" s="67"/>
      <c r="K170" s="67"/>
      <c r="L170" s="67"/>
      <c r="M170" s="67"/>
      <c r="N170" s="67"/>
      <c r="O170" s="67"/>
      <c r="P170" s="68"/>
      <c r="Q170" s="68"/>
    </row>
    <row collapsed="false" customFormat="false" customHeight="true" hidden="false" ht="12.6" outlineLevel="0" r="171">
      <c r="B171" s="66" t="n">
        <v>64</v>
      </c>
      <c r="C171" s="66"/>
      <c r="D171" s="64" t="n">
        <f aca="false">$I98 +$Q98 + $B171 + $I101 + $Q101 + $I16 + $P16</f>
        <v>107.995424660791</v>
      </c>
      <c r="E171" s="64"/>
      <c r="F171" s="64"/>
      <c r="G171" s="64"/>
      <c r="H171" s="64" t="e">
        <f aca="false">throughput($D171)</f>
        <v>#NAME?</v>
      </c>
      <c r="I171" s="64"/>
      <c r="J171" s="67"/>
      <c r="K171" s="67"/>
      <c r="L171" s="67"/>
      <c r="M171" s="67"/>
      <c r="N171" s="67"/>
      <c r="O171" s="67"/>
      <c r="P171" s="68"/>
      <c r="Q171" s="68"/>
    </row>
    <row collapsed="false" customFormat="false" customHeight="true" hidden="false" ht="12.6" outlineLevel="0" r="172">
      <c r="B172" s="66" t="n">
        <v>65</v>
      </c>
      <c r="C172" s="66"/>
      <c r="D172" s="64" t="n">
        <f aca="false">$I98 +$Q98 + $B172 + $I101 + $Q101 + $I16 + $P16</f>
        <v>108.995424660791</v>
      </c>
      <c r="E172" s="64"/>
      <c r="F172" s="64"/>
      <c r="G172" s="64"/>
      <c r="H172" s="64" t="e">
        <f aca="false">throughput($D172)</f>
        <v>#NAME?</v>
      </c>
      <c r="I172" s="64"/>
      <c r="J172" s="67"/>
      <c r="K172" s="67"/>
      <c r="L172" s="67"/>
      <c r="M172" s="67"/>
      <c r="N172" s="67"/>
      <c r="O172" s="67"/>
      <c r="P172" s="68"/>
      <c r="Q172" s="68"/>
    </row>
    <row collapsed="false" customFormat="false" customHeight="true" hidden="false" ht="12.6" outlineLevel="0" r="173">
      <c r="B173" s="66" t="n">
        <v>66</v>
      </c>
      <c r="C173" s="66"/>
      <c r="D173" s="64" t="n">
        <f aca="false">$I98 +$Q98 + $B173 + $I101 + $Q101 + $I16 + $P16</f>
        <v>109.995424660791</v>
      </c>
      <c r="E173" s="64"/>
      <c r="F173" s="64"/>
      <c r="G173" s="64"/>
      <c r="H173" s="64" t="e">
        <f aca="false">throughput($D173)</f>
        <v>#NAME?</v>
      </c>
      <c r="I173" s="64"/>
      <c r="J173" s="67"/>
      <c r="K173" s="67"/>
      <c r="L173" s="67"/>
      <c r="M173" s="67"/>
      <c r="N173" s="67"/>
      <c r="O173" s="67"/>
      <c r="P173" s="68"/>
      <c r="Q173" s="68"/>
    </row>
    <row collapsed="false" customFormat="false" customHeight="true" hidden="false" ht="12.6" outlineLevel="0" r="174">
      <c r="B174" s="66" t="n">
        <v>67</v>
      </c>
      <c r="C174" s="66"/>
      <c r="D174" s="64" t="n">
        <f aca="false">$I98 +$Q98 + $B174 + $I101 + $Q101 + $I16 + $P16</f>
        <v>110.995424660791</v>
      </c>
      <c r="E174" s="64"/>
      <c r="F174" s="64"/>
      <c r="G174" s="64"/>
      <c r="H174" s="64" t="e">
        <f aca="false">throughput($D174)</f>
        <v>#NAME?</v>
      </c>
      <c r="I174" s="64"/>
      <c r="J174" s="67"/>
      <c r="K174" s="67"/>
      <c r="L174" s="67"/>
      <c r="M174" s="67"/>
      <c r="N174" s="67"/>
      <c r="O174" s="67"/>
      <c r="P174" s="68"/>
      <c r="Q174" s="68"/>
    </row>
    <row collapsed="false" customFormat="false" customHeight="true" hidden="false" ht="12.6" outlineLevel="0" r="175">
      <c r="B175" s="66" t="n">
        <v>68</v>
      </c>
      <c r="C175" s="66"/>
      <c r="D175" s="64" t="n">
        <f aca="false">$I98 +$Q98 + $B175 + $I101 + $Q101 + $I16 + $P16</f>
        <v>111.995424660791</v>
      </c>
      <c r="E175" s="64"/>
      <c r="F175" s="64"/>
      <c r="G175" s="64"/>
      <c r="H175" s="64" t="e">
        <f aca="false">throughput($D175)</f>
        <v>#NAME?</v>
      </c>
      <c r="I175" s="64"/>
      <c r="J175" s="67"/>
      <c r="K175" s="67"/>
      <c r="L175" s="67"/>
      <c r="M175" s="67"/>
      <c r="N175" s="67"/>
      <c r="O175" s="67"/>
      <c r="P175" s="68"/>
      <c r="Q175" s="68"/>
    </row>
    <row collapsed="false" customFormat="false" customHeight="true" hidden="false" ht="12.6" outlineLevel="0" r="176">
      <c r="B176" s="66" t="n">
        <v>69</v>
      </c>
      <c r="C176" s="66"/>
      <c r="D176" s="64" t="n">
        <f aca="false">$I98 +$Q98 + $B176 + $I101 + $Q101 + $I16 + $P16</f>
        <v>112.995424660791</v>
      </c>
      <c r="E176" s="64"/>
      <c r="F176" s="64"/>
      <c r="G176" s="64"/>
      <c r="H176" s="64" t="e">
        <f aca="false">throughput($D176)</f>
        <v>#NAME?</v>
      </c>
      <c r="I176" s="64"/>
      <c r="J176" s="67"/>
      <c r="K176" s="67"/>
      <c r="L176" s="67"/>
      <c r="M176" s="67"/>
      <c r="N176" s="67"/>
      <c r="O176" s="67"/>
      <c r="P176" s="68"/>
      <c r="Q176" s="68"/>
    </row>
    <row collapsed="false" customFormat="false" customHeight="true" hidden="false" ht="12.6" outlineLevel="0" r="177">
      <c r="B177" s="69" t="n">
        <v>70</v>
      </c>
      <c r="C177" s="69"/>
      <c r="D177" s="70" t="n">
        <f aca="false">$I98 +$Q98 + $B177 + $I101 + $Q101 + $I16 + $P16</f>
        <v>113.995424660791</v>
      </c>
      <c r="E177" s="70"/>
      <c r="F177" s="70"/>
      <c r="G177" s="70"/>
      <c r="H177" s="70" t="e">
        <f aca="false">throughput($D177)</f>
        <v>#NAME?</v>
      </c>
      <c r="I177" s="70"/>
      <c r="J177" s="100"/>
      <c r="K177" s="100"/>
      <c r="L177" s="100"/>
      <c r="M177" s="100"/>
      <c r="N177" s="100"/>
      <c r="O177" s="100"/>
      <c r="P177" s="101"/>
      <c r="Q177" s="101"/>
    </row>
    <row collapsed="false" customFormat="false" customHeight="true" hidden="false" ht="12.6" outlineLevel="0" r="268">
      <c r="A268" s="1" t="s">
        <v>125</v>
      </c>
    </row>
  </sheetData>
  <mergeCells count="739">
    <mergeCell ref="C1:P1"/>
    <mergeCell ref="C3:D3"/>
    <mergeCell ref="H3:K3"/>
    <mergeCell ref="N3:P3"/>
    <mergeCell ref="C5:D5"/>
    <mergeCell ref="H5:I5"/>
    <mergeCell ref="N5:O5"/>
    <mergeCell ref="C6:D6"/>
    <mergeCell ref="H6:I6"/>
    <mergeCell ref="N6:O6"/>
    <mergeCell ref="C7:D7"/>
    <mergeCell ref="H7:I7"/>
    <mergeCell ref="N7:O7"/>
    <mergeCell ref="H8:I8"/>
    <mergeCell ref="N8:O8"/>
    <mergeCell ref="C9:D9"/>
    <mergeCell ref="N9:O9"/>
    <mergeCell ref="C10:D10"/>
    <mergeCell ref="N10:O10"/>
    <mergeCell ref="N11:O11"/>
    <mergeCell ref="B13:I13"/>
    <mergeCell ref="J13:Q13"/>
    <mergeCell ref="C15:D15"/>
    <mergeCell ref="E15:F15"/>
    <mergeCell ref="G15:H15"/>
    <mergeCell ref="J15:K15"/>
    <mergeCell ref="L15:M15"/>
    <mergeCell ref="N15:O15"/>
    <mergeCell ref="C16:D16"/>
    <mergeCell ref="E16:F16"/>
    <mergeCell ref="G16:H16"/>
    <mergeCell ref="J16:K16"/>
    <mergeCell ref="L16:M16"/>
    <mergeCell ref="N16:O16"/>
    <mergeCell ref="H18:K18"/>
    <mergeCell ref="H20:K20"/>
    <mergeCell ref="H22:K22"/>
    <mergeCell ref="H23:I23"/>
    <mergeCell ref="J23:K23"/>
    <mergeCell ref="H29:J29"/>
    <mergeCell ref="H30:J30"/>
    <mergeCell ref="H32:I32"/>
    <mergeCell ref="J32:K32"/>
    <mergeCell ref="I34:J34"/>
    <mergeCell ref="G36:H37"/>
    <mergeCell ref="I36:I37"/>
    <mergeCell ref="J36:J37"/>
    <mergeCell ref="K36:K37"/>
    <mergeCell ref="L36:L37"/>
    <mergeCell ref="G38:H38"/>
    <mergeCell ref="G39:H39"/>
    <mergeCell ref="G40:H40"/>
    <mergeCell ref="G41:H41"/>
    <mergeCell ref="G42:H42"/>
    <mergeCell ref="G43:H43"/>
    <mergeCell ref="G44:H44"/>
    <mergeCell ref="G45:H45"/>
    <mergeCell ref="G46:H46"/>
    <mergeCell ref="G47:H47"/>
    <mergeCell ref="E48:F48"/>
    <mergeCell ref="M48:N48"/>
    <mergeCell ref="C50:D51"/>
    <mergeCell ref="E50:E51"/>
    <mergeCell ref="F50:F51"/>
    <mergeCell ref="G50:G51"/>
    <mergeCell ref="H50:H51"/>
    <mergeCell ref="K50:L51"/>
    <mergeCell ref="M50:M51"/>
    <mergeCell ref="N50:N51"/>
    <mergeCell ref="O50:O51"/>
    <mergeCell ref="P50:P51"/>
    <mergeCell ref="C52:D52"/>
    <mergeCell ref="K52:L52"/>
    <mergeCell ref="C53:D53"/>
    <mergeCell ref="K53:L53"/>
    <mergeCell ref="C54:D54"/>
    <mergeCell ref="K54:L54"/>
    <mergeCell ref="C55:D55"/>
    <mergeCell ref="K55:L55"/>
    <mergeCell ref="C56:D56"/>
    <mergeCell ref="K56:L56"/>
    <mergeCell ref="C57:D57"/>
    <mergeCell ref="K57:L57"/>
    <mergeCell ref="C58:D58"/>
    <mergeCell ref="K58:L58"/>
    <mergeCell ref="C59:D59"/>
    <mergeCell ref="K59:L59"/>
    <mergeCell ref="C60:D60"/>
    <mergeCell ref="K60:L60"/>
    <mergeCell ref="C61:D61"/>
    <mergeCell ref="K61:L61"/>
    <mergeCell ref="C62:D62"/>
    <mergeCell ref="K62:L62"/>
    <mergeCell ref="C63:D63"/>
    <mergeCell ref="K63:L63"/>
    <mergeCell ref="C64:D64"/>
    <mergeCell ref="K64:L64"/>
    <mergeCell ref="C65:D65"/>
    <mergeCell ref="K65:L65"/>
    <mergeCell ref="C66:D66"/>
    <mergeCell ref="K66:L66"/>
    <mergeCell ref="C67:D67"/>
    <mergeCell ref="K67:L67"/>
    <mergeCell ref="C68:D68"/>
    <mergeCell ref="K68:L68"/>
    <mergeCell ref="C69:D69"/>
    <mergeCell ref="K69:L69"/>
    <mergeCell ref="C70:D70"/>
    <mergeCell ref="K70:L70"/>
    <mergeCell ref="C71:D71"/>
    <mergeCell ref="K71:L71"/>
    <mergeCell ref="H73:K73"/>
    <mergeCell ref="H75:K75"/>
    <mergeCell ref="H78:J78"/>
    <mergeCell ref="I80:J80"/>
    <mergeCell ref="G82:H83"/>
    <mergeCell ref="I82:I83"/>
    <mergeCell ref="J82:J83"/>
    <mergeCell ref="K82:K83"/>
    <mergeCell ref="L82:L83"/>
    <mergeCell ref="G84:H84"/>
    <mergeCell ref="G87:L87"/>
    <mergeCell ref="D89:F90"/>
    <mergeCell ref="G89:I90"/>
    <mergeCell ref="J89:K90"/>
    <mergeCell ref="L89:M90"/>
    <mergeCell ref="N89:O90"/>
    <mergeCell ref="P89:Q90"/>
    <mergeCell ref="B91:C92"/>
    <mergeCell ref="D91:F92"/>
    <mergeCell ref="G91:I92"/>
    <mergeCell ref="J91:K92"/>
    <mergeCell ref="L91:M92"/>
    <mergeCell ref="N91:O92"/>
    <mergeCell ref="P91:Q92"/>
    <mergeCell ref="B93:C94"/>
    <mergeCell ref="D93:F94"/>
    <mergeCell ref="G93:I94"/>
    <mergeCell ref="J93:K94"/>
    <mergeCell ref="L93:M94"/>
    <mergeCell ref="N93:O94"/>
    <mergeCell ref="P93:Q94"/>
    <mergeCell ref="G96:L96"/>
    <mergeCell ref="B98:D99"/>
    <mergeCell ref="E98:E99"/>
    <mergeCell ref="F98:H99"/>
    <mergeCell ref="I98:I99"/>
    <mergeCell ref="J98:P99"/>
    <mergeCell ref="Q98:Q99"/>
    <mergeCell ref="B101:E102"/>
    <mergeCell ref="F101:H102"/>
    <mergeCell ref="I101:I102"/>
    <mergeCell ref="J101:P102"/>
    <mergeCell ref="Q101:Q102"/>
    <mergeCell ref="G103:J103"/>
    <mergeCell ref="B104:C105"/>
    <mergeCell ref="D104:E105"/>
    <mergeCell ref="F104:G105"/>
    <mergeCell ref="H104:I105"/>
    <mergeCell ref="J104:K105"/>
    <mergeCell ref="L104:M105"/>
    <mergeCell ref="N104:O105"/>
    <mergeCell ref="P104:Q105"/>
    <mergeCell ref="B106:C106"/>
    <mergeCell ref="D106:E106"/>
    <mergeCell ref="F106:G106"/>
    <mergeCell ref="H106:I106"/>
    <mergeCell ref="J106:K106"/>
    <mergeCell ref="L106:M106"/>
    <mergeCell ref="N106:O106"/>
    <mergeCell ref="P106:Q106"/>
    <mergeCell ref="B107:C107"/>
    <mergeCell ref="D107:E107"/>
    <mergeCell ref="F107:G107"/>
    <mergeCell ref="H107:I107"/>
    <mergeCell ref="J107:K107"/>
    <mergeCell ref="L107:M107"/>
    <mergeCell ref="N107:O107"/>
    <mergeCell ref="P107:Q107"/>
    <mergeCell ref="B108:C108"/>
    <mergeCell ref="D108:E108"/>
    <mergeCell ref="F108:G108"/>
    <mergeCell ref="H108:I108"/>
    <mergeCell ref="J108:K108"/>
    <mergeCell ref="L108:M108"/>
    <mergeCell ref="N108:O108"/>
    <mergeCell ref="P108:Q108"/>
    <mergeCell ref="B109:C109"/>
    <mergeCell ref="D109:E109"/>
    <mergeCell ref="F109:G109"/>
    <mergeCell ref="H109:I109"/>
    <mergeCell ref="J109:K109"/>
    <mergeCell ref="L109:M109"/>
    <mergeCell ref="N109:O109"/>
    <mergeCell ref="P109:Q109"/>
    <mergeCell ref="B110:C110"/>
    <mergeCell ref="D110:E110"/>
    <mergeCell ref="F110:G110"/>
    <mergeCell ref="H110:I110"/>
    <mergeCell ref="J110:K110"/>
    <mergeCell ref="L110:M110"/>
    <mergeCell ref="N110:O110"/>
    <mergeCell ref="P110:Q110"/>
    <mergeCell ref="B111:C111"/>
    <mergeCell ref="D111:E111"/>
    <mergeCell ref="F111:G111"/>
    <mergeCell ref="H111:I111"/>
    <mergeCell ref="J111:K111"/>
    <mergeCell ref="L111:M111"/>
    <mergeCell ref="N111:O111"/>
    <mergeCell ref="P111:Q111"/>
    <mergeCell ref="B112:C112"/>
    <mergeCell ref="D112:E112"/>
    <mergeCell ref="F112:G112"/>
    <mergeCell ref="H112:I112"/>
    <mergeCell ref="J112:K112"/>
    <mergeCell ref="L112:M112"/>
    <mergeCell ref="N112:O112"/>
    <mergeCell ref="P112:Q112"/>
    <mergeCell ref="B113:C113"/>
    <mergeCell ref="D113:E113"/>
    <mergeCell ref="F113:G113"/>
    <mergeCell ref="H113:I113"/>
    <mergeCell ref="J113:K113"/>
    <mergeCell ref="L113:M113"/>
    <mergeCell ref="N113:O113"/>
    <mergeCell ref="P113:Q113"/>
    <mergeCell ref="B114:C114"/>
    <mergeCell ref="D114:E114"/>
    <mergeCell ref="F114:G114"/>
    <mergeCell ref="H114:I114"/>
    <mergeCell ref="J114:K114"/>
    <mergeCell ref="L114:M114"/>
    <mergeCell ref="N114:O114"/>
    <mergeCell ref="P114:Q114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B116:C116"/>
    <mergeCell ref="D116:E116"/>
    <mergeCell ref="F116:G116"/>
    <mergeCell ref="H116:I116"/>
    <mergeCell ref="J116:K116"/>
    <mergeCell ref="L116:M116"/>
    <mergeCell ref="N116:O116"/>
    <mergeCell ref="P116:Q116"/>
    <mergeCell ref="B117:C117"/>
    <mergeCell ref="D117:E117"/>
    <mergeCell ref="F117:G117"/>
    <mergeCell ref="H117:I117"/>
    <mergeCell ref="J117:K117"/>
    <mergeCell ref="L117:M117"/>
    <mergeCell ref="N117:O117"/>
    <mergeCell ref="P117:Q117"/>
    <mergeCell ref="B118:C118"/>
    <mergeCell ref="D118:E118"/>
    <mergeCell ref="F118:G118"/>
    <mergeCell ref="H118:I118"/>
    <mergeCell ref="J118:K118"/>
    <mergeCell ref="L118:M118"/>
    <mergeCell ref="N118:O118"/>
    <mergeCell ref="P118:Q118"/>
    <mergeCell ref="B119:C119"/>
    <mergeCell ref="D119:E119"/>
    <mergeCell ref="F119:G119"/>
    <mergeCell ref="H119:I119"/>
    <mergeCell ref="J119:K119"/>
    <mergeCell ref="L119:M119"/>
    <mergeCell ref="N119:O119"/>
    <mergeCell ref="P119:Q119"/>
    <mergeCell ref="B120:C120"/>
    <mergeCell ref="D120:E120"/>
    <mergeCell ref="F120:G120"/>
    <mergeCell ref="H120:I120"/>
    <mergeCell ref="J120:K120"/>
    <mergeCell ref="L120:M120"/>
    <mergeCell ref="N120:O120"/>
    <mergeCell ref="P120:Q120"/>
    <mergeCell ref="B121:C121"/>
    <mergeCell ref="D121:E121"/>
    <mergeCell ref="F121:G121"/>
    <mergeCell ref="H121:I121"/>
    <mergeCell ref="J121:K121"/>
    <mergeCell ref="L121:M121"/>
    <mergeCell ref="N121:O121"/>
    <mergeCell ref="P121:Q121"/>
    <mergeCell ref="B122:C122"/>
    <mergeCell ref="D122:E122"/>
    <mergeCell ref="F122:G122"/>
    <mergeCell ref="H122:I122"/>
    <mergeCell ref="J122:K122"/>
    <mergeCell ref="L122:M122"/>
    <mergeCell ref="N122:O122"/>
    <mergeCell ref="P122:Q122"/>
    <mergeCell ref="B123:C123"/>
    <mergeCell ref="D123:E123"/>
    <mergeCell ref="F123:G123"/>
    <mergeCell ref="H123:I123"/>
    <mergeCell ref="J123:K123"/>
    <mergeCell ref="L123:M123"/>
    <mergeCell ref="N123:O123"/>
    <mergeCell ref="P123:Q123"/>
    <mergeCell ref="B124:C124"/>
    <mergeCell ref="D124:E124"/>
    <mergeCell ref="F124:G124"/>
    <mergeCell ref="H124:I124"/>
    <mergeCell ref="J124:K124"/>
    <mergeCell ref="L124:M124"/>
    <mergeCell ref="N124:O124"/>
    <mergeCell ref="P124:Q124"/>
    <mergeCell ref="B125:C125"/>
    <mergeCell ref="D125:E125"/>
    <mergeCell ref="F125:G125"/>
    <mergeCell ref="H125:I125"/>
    <mergeCell ref="J125:K125"/>
    <mergeCell ref="L125:M125"/>
    <mergeCell ref="N125:O125"/>
    <mergeCell ref="P125:Q125"/>
    <mergeCell ref="B126:C126"/>
    <mergeCell ref="D126:E126"/>
    <mergeCell ref="F126:G126"/>
    <mergeCell ref="H126:I126"/>
    <mergeCell ref="J126:K126"/>
    <mergeCell ref="L126:M126"/>
    <mergeCell ref="N126:O126"/>
    <mergeCell ref="P126:Q126"/>
    <mergeCell ref="B127:C127"/>
    <mergeCell ref="D127:E127"/>
    <mergeCell ref="F127:G127"/>
    <mergeCell ref="H127:I127"/>
    <mergeCell ref="J127:K127"/>
    <mergeCell ref="L127:M127"/>
    <mergeCell ref="N127:O127"/>
    <mergeCell ref="P127:Q127"/>
    <mergeCell ref="B128:C128"/>
    <mergeCell ref="D128:E128"/>
    <mergeCell ref="F128:G128"/>
    <mergeCell ref="H128:I128"/>
    <mergeCell ref="J128:K128"/>
    <mergeCell ref="L128:M128"/>
    <mergeCell ref="N128:O128"/>
    <mergeCell ref="P128:Q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B130:C130"/>
    <mergeCell ref="D130:E130"/>
    <mergeCell ref="F130:G130"/>
    <mergeCell ref="H130:I130"/>
    <mergeCell ref="J130:K130"/>
    <mergeCell ref="L130:M130"/>
    <mergeCell ref="N130:O130"/>
    <mergeCell ref="P130:Q130"/>
    <mergeCell ref="B131:C131"/>
    <mergeCell ref="D131:E131"/>
    <mergeCell ref="F131:G131"/>
    <mergeCell ref="H131:I131"/>
    <mergeCell ref="J131:K131"/>
    <mergeCell ref="L131:M131"/>
    <mergeCell ref="N131:O131"/>
    <mergeCell ref="P131:Q131"/>
    <mergeCell ref="B132:C132"/>
    <mergeCell ref="D132:E132"/>
    <mergeCell ref="F132:G132"/>
    <mergeCell ref="H132:I132"/>
    <mergeCell ref="J132:K132"/>
    <mergeCell ref="L132:M132"/>
    <mergeCell ref="N132:O132"/>
    <mergeCell ref="P132:Q132"/>
    <mergeCell ref="B133:C133"/>
    <mergeCell ref="D133:E133"/>
    <mergeCell ref="F133:G133"/>
    <mergeCell ref="H133:I133"/>
    <mergeCell ref="J133:K133"/>
    <mergeCell ref="L133:M133"/>
    <mergeCell ref="N133:O133"/>
    <mergeCell ref="P133:Q133"/>
    <mergeCell ref="B134:C134"/>
    <mergeCell ref="D134:E134"/>
    <mergeCell ref="F134:G134"/>
    <mergeCell ref="H134:I134"/>
    <mergeCell ref="J134:K134"/>
    <mergeCell ref="L134:M134"/>
    <mergeCell ref="N134:O134"/>
    <mergeCell ref="P134:Q134"/>
    <mergeCell ref="B135:C135"/>
    <mergeCell ref="D135:E135"/>
    <mergeCell ref="F135:G135"/>
    <mergeCell ref="H135:I135"/>
    <mergeCell ref="J135:K135"/>
    <mergeCell ref="L135:M135"/>
    <mergeCell ref="N135:O135"/>
    <mergeCell ref="P135:Q135"/>
    <mergeCell ref="B136:C136"/>
    <mergeCell ref="D136:E136"/>
    <mergeCell ref="F136:G136"/>
    <mergeCell ref="H136:I136"/>
    <mergeCell ref="J136:K136"/>
    <mergeCell ref="L136:M136"/>
    <mergeCell ref="N136:O136"/>
    <mergeCell ref="P136:Q136"/>
    <mergeCell ref="B137:C137"/>
    <mergeCell ref="D137:E137"/>
    <mergeCell ref="F137:G137"/>
    <mergeCell ref="H137:I137"/>
    <mergeCell ref="J137:K137"/>
    <mergeCell ref="L137:M137"/>
    <mergeCell ref="N137:O137"/>
    <mergeCell ref="P137:Q137"/>
    <mergeCell ref="B138:C138"/>
    <mergeCell ref="D138:E138"/>
    <mergeCell ref="F138:G138"/>
    <mergeCell ref="H138:I138"/>
    <mergeCell ref="J138:K138"/>
    <mergeCell ref="L138:M138"/>
    <mergeCell ref="N138:O138"/>
    <mergeCell ref="P138:Q138"/>
    <mergeCell ref="B139:C139"/>
    <mergeCell ref="D139:E139"/>
    <mergeCell ref="F139:G139"/>
    <mergeCell ref="H139:I139"/>
    <mergeCell ref="J139:K139"/>
    <mergeCell ref="L139:M139"/>
    <mergeCell ref="N139:O139"/>
    <mergeCell ref="P139:Q139"/>
    <mergeCell ref="B140:C140"/>
    <mergeCell ref="D140:E140"/>
    <mergeCell ref="F140:G140"/>
    <mergeCell ref="H140:I140"/>
    <mergeCell ref="J140:K140"/>
    <mergeCell ref="L140:M140"/>
    <mergeCell ref="N140:O140"/>
    <mergeCell ref="P140:Q140"/>
    <mergeCell ref="B141:C141"/>
    <mergeCell ref="D141:E141"/>
    <mergeCell ref="F141:G141"/>
    <mergeCell ref="H141:I141"/>
    <mergeCell ref="J141:K141"/>
    <mergeCell ref="L141:M141"/>
    <mergeCell ref="N141:O141"/>
    <mergeCell ref="P141:Q141"/>
    <mergeCell ref="B142:C142"/>
    <mergeCell ref="D142:E142"/>
    <mergeCell ref="F142:G142"/>
    <mergeCell ref="H142:I142"/>
    <mergeCell ref="J142:K142"/>
    <mergeCell ref="L142:M142"/>
    <mergeCell ref="N142:O142"/>
    <mergeCell ref="P142:Q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B144:C144"/>
    <mergeCell ref="D144:E144"/>
    <mergeCell ref="F144:G144"/>
    <mergeCell ref="H144:I144"/>
    <mergeCell ref="J144:K144"/>
    <mergeCell ref="L144:M144"/>
    <mergeCell ref="N144:O144"/>
    <mergeCell ref="P144:Q144"/>
    <mergeCell ref="B145:C145"/>
    <mergeCell ref="D145:E145"/>
    <mergeCell ref="F145:G145"/>
    <mergeCell ref="H145:I145"/>
    <mergeCell ref="J145:K145"/>
    <mergeCell ref="L145:M145"/>
    <mergeCell ref="N145:O145"/>
    <mergeCell ref="P145:Q145"/>
    <mergeCell ref="B146:C146"/>
    <mergeCell ref="D146:E146"/>
    <mergeCell ref="F146:G146"/>
    <mergeCell ref="H146:I146"/>
    <mergeCell ref="J146:K146"/>
    <mergeCell ref="L146:M146"/>
    <mergeCell ref="N146:O146"/>
    <mergeCell ref="P146:Q146"/>
    <mergeCell ref="B147:C147"/>
    <mergeCell ref="D147:E147"/>
    <mergeCell ref="F147:G147"/>
    <mergeCell ref="H147:I147"/>
    <mergeCell ref="J147:K147"/>
    <mergeCell ref="L147:M147"/>
    <mergeCell ref="N147:O147"/>
    <mergeCell ref="P147:Q147"/>
    <mergeCell ref="B148:C148"/>
    <mergeCell ref="D148:E148"/>
    <mergeCell ref="F148:G148"/>
    <mergeCell ref="H148:I148"/>
    <mergeCell ref="J148:K148"/>
    <mergeCell ref="L148:M148"/>
    <mergeCell ref="N148:O148"/>
    <mergeCell ref="P148:Q148"/>
    <mergeCell ref="B149:C149"/>
    <mergeCell ref="D149:E149"/>
    <mergeCell ref="F149:G149"/>
    <mergeCell ref="H149:I149"/>
    <mergeCell ref="J149:K149"/>
    <mergeCell ref="L149:M149"/>
    <mergeCell ref="N149:O149"/>
    <mergeCell ref="P149:Q149"/>
    <mergeCell ref="B150:C150"/>
    <mergeCell ref="D150:E150"/>
    <mergeCell ref="F150:G150"/>
    <mergeCell ref="H150:I150"/>
    <mergeCell ref="J150:K150"/>
    <mergeCell ref="L150:M150"/>
    <mergeCell ref="N150:O150"/>
    <mergeCell ref="P150:Q150"/>
    <mergeCell ref="B151:C151"/>
    <mergeCell ref="D151:E151"/>
    <mergeCell ref="F151:G151"/>
    <mergeCell ref="H151:I151"/>
    <mergeCell ref="J151:K151"/>
    <mergeCell ref="L151:M151"/>
    <mergeCell ref="N151:O151"/>
    <mergeCell ref="P151:Q151"/>
    <mergeCell ref="B152:C152"/>
    <mergeCell ref="D152:E152"/>
    <mergeCell ref="F152:G152"/>
    <mergeCell ref="H152:I152"/>
    <mergeCell ref="J152:K152"/>
    <mergeCell ref="L152:M152"/>
    <mergeCell ref="N152:O152"/>
    <mergeCell ref="P152:Q152"/>
    <mergeCell ref="B153:C153"/>
    <mergeCell ref="D153:E153"/>
    <mergeCell ref="F153:G153"/>
    <mergeCell ref="H153:I153"/>
    <mergeCell ref="J153:K153"/>
    <mergeCell ref="L153:M153"/>
    <mergeCell ref="N153:O153"/>
    <mergeCell ref="P153:Q153"/>
    <mergeCell ref="B154:C154"/>
    <mergeCell ref="D154:E154"/>
    <mergeCell ref="F154:G154"/>
    <mergeCell ref="H154:I154"/>
    <mergeCell ref="J154:K154"/>
    <mergeCell ref="L154:M154"/>
    <mergeCell ref="N154:O154"/>
    <mergeCell ref="P154:Q154"/>
    <mergeCell ref="B155:C155"/>
    <mergeCell ref="D155:E155"/>
    <mergeCell ref="F155:G155"/>
    <mergeCell ref="H155:I155"/>
    <mergeCell ref="J155:K155"/>
    <mergeCell ref="L155:M155"/>
    <mergeCell ref="N155:O155"/>
    <mergeCell ref="P155:Q155"/>
    <mergeCell ref="B156:C156"/>
    <mergeCell ref="D156:E156"/>
    <mergeCell ref="F156:G156"/>
    <mergeCell ref="H156:I156"/>
    <mergeCell ref="J156:K156"/>
    <mergeCell ref="L156:M156"/>
    <mergeCell ref="N156:O156"/>
    <mergeCell ref="P156:Q156"/>
    <mergeCell ref="B157:C157"/>
    <mergeCell ref="D157:E157"/>
    <mergeCell ref="F157:G157"/>
    <mergeCell ref="H157:I157"/>
    <mergeCell ref="J157:K157"/>
    <mergeCell ref="L157:M157"/>
    <mergeCell ref="N157:O157"/>
    <mergeCell ref="P157:Q157"/>
    <mergeCell ref="B158:C158"/>
    <mergeCell ref="D158:E158"/>
    <mergeCell ref="F158:G158"/>
    <mergeCell ref="H158:I158"/>
    <mergeCell ref="J158:K158"/>
    <mergeCell ref="L158:M158"/>
    <mergeCell ref="N158:O158"/>
    <mergeCell ref="P158:Q158"/>
    <mergeCell ref="B159:C159"/>
    <mergeCell ref="D159:E159"/>
    <mergeCell ref="F159:G159"/>
    <mergeCell ref="H159:I159"/>
    <mergeCell ref="J159:K159"/>
    <mergeCell ref="L159:M159"/>
    <mergeCell ref="N159:O159"/>
    <mergeCell ref="P159:Q159"/>
    <mergeCell ref="B160:C160"/>
    <mergeCell ref="D160:E160"/>
    <mergeCell ref="F160:G160"/>
    <mergeCell ref="H160:I160"/>
    <mergeCell ref="J160:K160"/>
    <mergeCell ref="L160:M160"/>
    <mergeCell ref="N160:O160"/>
    <mergeCell ref="P160:Q160"/>
    <mergeCell ref="B161:C161"/>
    <mergeCell ref="D161:E161"/>
    <mergeCell ref="F161:G161"/>
    <mergeCell ref="H161:I161"/>
    <mergeCell ref="J161:K161"/>
    <mergeCell ref="L161:M161"/>
    <mergeCell ref="N161:O161"/>
    <mergeCell ref="P161:Q161"/>
    <mergeCell ref="B162:C162"/>
    <mergeCell ref="D162:E162"/>
    <mergeCell ref="F162:G162"/>
    <mergeCell ref="H162:I162"/>
    <mergeCell ref="J162:K162"/>
    <mergeCell ref="L162:M162"/>
    <mergeCell ref="N162:O162"/>
    <mergeCell ref="P162:Q162"/>
    <mergeCell ref="B163:C163"/>
    <mergeCell ref="D163:E163"/>
    <mergeCell ref="F163:G163"/>
    <mergeCell ref="H163:I163"/>
    <mergeCell ref="J163:K163"/>
    <mergeCell ref="L163:M163"/>
    <mergeCell ref="N163:O163"/>
    <mergeCell ref="P163:Q163"/>
    <mergeCell ref="B164:C164"/>
    <mergeCell ref="D164:E164"/>
    <mergeCell ref="F164:G164"/>
    <mergeCell ref="H164:I164"/>
    <mergeCell ref="J164:K164"/>
    <mergeCell ref="L164:M164"/>
    <mergeCell ref="N164:O164"/>
    <mergeCell ref="P164:Q164"/>
    <mergeCell ref="B165:C165"/>
    <mergeCell ref="D165:E165"/>
    <mergeCell ref="F165:G165"/>
    <mergeCell ref="H165:I165"/>
    <mergeCell ref="J165:K165"/>
    <mergeCell ref="L165:M165"/>
    <mergeCell ref="N165:O165"/>
    <mergeCell ref="P165:Q165"/>
    <mergeCell ref="B166:C166"/>
    <mergeCell ref="D166:E166"/>
    <mergeCell ref="F166:G166"/>
    <mergeCell ref="H166:I166"/>
    <mergeCell ref="J166:K166"/>
    <mergeCell ref="L166:M166"/>
    <mergeCell ref="N166:O166"/>
    <mergeCell ref="P166:Q166"/>
    <mergeCell ref="B167:C167"/>
    <mergeCell ref="D167:E167"/>
    <mergeCell ref="F167:G167"/>
    <mergeCell ref="H167:I167"/>
    <mergeCell ref="J167:K167"/>
    <mergeCell ref="L167:M167"/>
    <mergeCell ref="N167:O167"/>
    <mergeCell ref="P167:Q167"/>
    <mergeCell ref="B168:C168"/>
    <mergeCell ref="D168:E168"/>
    <mergeCell ref="F168:G168"/>
    <mergeCell ref="H168:I168"/>
    <mergeCell ref="J168:K168"/>
    <mergeCell ref="L168:M168"/>
    <mergeCell ref="N168:O168"/>
    <mergeCell ref="P168:Q168"/>
    <mergeCell ref="B169:C169"/>
    <mergeCell ref="D169:E169"/>
    <mergeCell ref="F169:G169"/>
    <mergeCell ref="H169:I169"/>
    <mergeCell ref="J169:K169"/>
    <mergeCell ref="L169:M169"/>
    <mergeCell ref="N169:O169"/>
    <mergeCell ref="P169:Q169"/>
    <mergeCell ref="B170:C170"/>
    <mergeCell ref="D170:E170"/>
    <mergeCell ref="F170:G170"/>
    <mergeCell ref="H170:I170"/>
    <mergeCell ref="J170:K170"/>
    <mergeCell ref="L170:M170"/>
    <mergeCell ref="N170:O170"/>
    <mergeCell ref="P170:Q170"/>
    <mergeCell ref="B171:C171"/>
    <mergeCell ref="D171:E171"/>
    <mergeCell ref="F171:G171"/>
    <mergeCell ref="H171:I171"/>
    <mergeCell ref="J171:K171"/>
    <mergeCell ref="L171:M171"/>
    <mergeCell ref="N171:O171"/>
    <mergeCell ref="P171:Q171"/>
    <mergeCell ref="B172:C172"/>
    <mergeCell ref="D172:E172"/>
    <mergeCell ref="F172:G172"/>
    <mergeCell ref="H172:I172"/>
    <mergeCell ref="J172:K172"/>
    <mergeCell ref="L172:M172"/>
    <mergeCell ref="N172:O172"/>
    <mergeCell ref="P172:Q172"/>
    <mergeCell ref="B173:C173"/>
    <mergeCell ref="D173:E173"/>
    <mergeCell ref="F173:G173"/>
    <mergeCell ref="H173:I173"/>
    <mergeCell ref="J173:K173"/>
    <mergeCell ref="L173:M173"/>
    <mergeCell ref="N173:O173"/>
    <mergeCell ref="P173:Q173"/>
    <mergeCell ref="B174:C174"/>
    <mergeCell ref="D174:E174"/>
    <mergeCell ref="F174:G174"/>
    <mergeCell ref="H174:I174"/>
    <mergeCell ref="J174:K174"/>
    <mergeCell ref="L174:M174"/>
    <mergeCell ref="N174:O174"/>
    <mergeCell ref="P174:Q174"/>
    <mergeCell ref="B175:C175"/>
    <mergeCell ref="D175:E175"/>
    <mergeCell ref="F175:G175"/>
    <mergeCell ref="H175:I175"/>
    <mergeCell ref="J175:K175"/>
    <mergeCell ref="L175:M175"/>
    <mergeCell ref="N175:O175"/>
    <mergeCell ref="P175:Q175"/>
    <mergeCell ref="B176:C176"/>
    <mergeCell ref="D176:E176"/>
    <mergeCell ref="F176:G176"/>
    <mergeCell ref="H176:I176"/>
    <mergeCell ref="J176:K176"/>
    <mergeCell ref="L176:M176"/>
    <mergeCell ref="N176:O176"/>
    <mergeCell ref="P176:Q176"/>
    <mergeCell ref="B177:C177"/>
    <mergeCell ref="D177:E177"/>
    <mergeCell ref="F177:G177"/>
    <mergeCell ref="H177:I177"/>
    <mergeCell ref="J177:K177"/>
    <mergeCell ref="L177:M177"/>
    <mergeCell ref="N177:O177"/>
    <mergeCell ref="P177:Q177"/>
  </mergeCells>
  <dataValidations count="10">
    <dataValidation allowBlank="true" error="Select a Valid Entry!" errorTitle="Invalid Value" operator="between" prompt="Select the type of wireless network for which theoretical simulation shall be performed." promptTitle="Wireless Type" showDropDown="false" showErrorMessage="true" showInputMessage="true" sqref="E3" type="list">
      <formula1>"802.11,802.15.4"</formula1>
      <formula2>0</formula2>
    </dataValidation>
    <dataValidation allowBlank="true" error="Select a Valid Entry!" errorTitle="Invalid Value" operator="between" prompt="Type of Ethernet connection." promptTitle="Ethernet Type" showDropDown="false" showErrorMessage="true" showInputMessage="true" sqref="E7" type="list">
      <formula1>"10Mbits/s,Fast,Gigabit"</formula1>
      <formula2>0</formula2>
    </dataValidation>
    <dataValidation allowBlank="true" error="Select a Valid Entry!" errorTitle="Invalid Value" operator="between" prompt="Frequency at which wireless network is operating." promptTitle="Frequency" showDropDown="false" showErrorMessage="true" showInputMessage="true" sqref="E6" type="list">
      <formula1>"2.4,5.2,5.8"</formula1>
      <formula2>0</formula2>
    </dataValidation>
    <dataValidation allowBlank="true" error="Select a Valid Entry!" errorTitle="Invalid Value" operator="between" prompt="In theoretical model, use linear interpolation or not." promptTitle="Linear Interpolation" showDropDown="false" showErrorMessage="true" showInputMessage="true" sqref="E5" type="list">
      <formula1>"yes,no"</formula1>
      <formula2>0</formula2>
    </dataValidation>
    <dataValidation allowBlank="true" error="Select a Valid Entry!" errorTitle="Invalid Value" operator="between" prompt="No. of Rx antennas used by the receiver in the wireless network." promptTitle="Rx Antennas" showDropDown="false" showErrorMessage="true" showInputMessage="true" sqref="P9" type="list">
      <formula1>"1,2,3,4"</formula1>
      <formula2>0</formula2>
    </dataValidation>
    <dataValidation allowBlank="true" error="Select a Valid Entry!" errorTitle="Invalid Value" operator="between" prompt="No. of Tx antennas used by the transmitter in the wireless network." promptTitle="Tx Antennas" showDropDown="false" showErrorMessage="true" showInputMessage="true" sqref="P8" type="list">
      <formula1>"1,2,3,4"</formula1>
      <formula2>0</formula2>
    </dataValidation>
    <dataValidation allowBlank="true" error="Select a Valid Entry!" errorTitle="Invalid Value" operator="between" prompt="No. of Rx chains used by the receiver in the wireless network." promptTitle="Rx Chains" showDropDown="false" showErrorMessage="true" showInputMessage="true" sqref="P7" type="list">
      <formula1>"1,2,3,4"</formula1>
      <formula2>0</formula2>
    </dataValidation>
    <dataValidation allowBlank="true" error="Select a Valid Entry!" errorTitle="Invalid Value" operator="between" prompt="No. of Tx chains used by the transmitter in the wireless network." promptTitle="Tx Chains" showDropDown="false" showErrorMessage="true" showInputMessage="true" sqref="P6" type="list">
      <formula1>"1,2,3,4"</formula1>
      <formula2>0</formula2>
    </dataValidation>
    <dataValidation allowBlank="true" error="Select a Valid Entry!" errorTitle="Invalid Value" operator="between" prompt="No of Spatial Streams between Tx and Rx in the wireless network." promptTitle="Spatial Streams" showDropDown="false" showErrorMessage="true" showInputMessage="true" sqref="P5" type="list">
      <formula1>"1,2,3,4"</formula1>
      <formula2>0</formula2>
    </dataValidation>
    <dataValidation allowBlank="true" operator="between" showDropDown="false" showErrorMessage="true" showInputMessage="true" sqref="J32:K32" type="list">
      <formula1>"HT40/20,HT20,Legacy Mode"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O94"/>
  <sheetViews>
    <sheetView colorId="64" defaultGridColor="true" rightToLeft="false" showFormulas="false" showGridLines="true" showOutlineSymbols="true" showRowColHeaders="true" showZeros="true" tabSelected="false" topLeftCell="A43" view="normal" windowProtection="false" workbookViewId="0" zoomScale="70" zoomScaleNormal="70" zoomScalePageLayoutView="100">
      <pane activePane="topLeft" topLeftCell="A43" xSplit="0" ySplit="-1"/>
      <selection activeCell="U18" activeCellId="0" pane="topLeft" sqref="U18"/>
      <selection activeCell="A43" activeCellId="0" pane="bottomLeft" sqref="A43"/>
    </sheetView>
  </sheetViews>
  <cols>
    <col collapsed="false" hidden="false" max="1025" min="1" style="0" width="8.56862745098039"/>
  </cols>
  <sheetData>
    <row collapsed="false" customFormat="false" customHeight="true" hidden="false" ht="19.5" outlineLevel="0" r="2">
      <c r="B2" s="102" t="s">
        <v>126</v>
      </c>
      <c r="C2" s="102"/>
      <c r="D2" s="102"/>
      <c r="E2" s="102" t="s">
        <v>127</v>
      </c>
      <c r="F2" s="102"/>
    </row>
    <row collapsed="false" customFormat="false" customHeight="true" hidden="false" ht="19.5" outlineLevel="0" r="4">
      <c r="F4" s="103" t="s">
        <v>128</v>
      </c>
      <c r="G4" s="103"/>
      <c r="H4" s="103"/>
      <c r="I4" s="103"/>
      <c r="J4" s="103"/>
      <c r="K4" s="103"/>
      <c r="L4" s="103"/>
      <c r="M4" s="103"/>
      <c r="N4" s="103"/>
      <c r="O4" s="103"/>
    </row>
    <row collapsed="false" customFormat="false" customHeight="true" hidden="false" ht="19.5" outlineLevel="0" r="5"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collapsed="false" customFormat="false" customHeight="true" hidden="false" ht="19.5" outlineLevel="0" r="34">
      <c r="F34" s="103" t="s">
        <v>129</v>
      </c>
      <c r="G34" s="103"/>
      <c r="H34" s="103"/>
      <c r="I34" s="103"/>
      <c r="J34" s="103"/>
      <c r="K34" s="103"/>
      <c r="L34" s="103"/>
      <c r="M34" s="103"/>
      <c r="N34" s="103"/>
      <c r="O34" s="103"/>
    </row>
    <row collapsed="false" customFormat="false" customHeight="true" hidden="false" ht="19.5" outlineLevel="0" r="35">
      <c r="F35" s="103"/>
      <c r="G35" s="103"/>
      <c r="H35" s="103"/>
      <c r="I35" s="103"/>
      <c r="J35" s="103"/>
      <c r="K35" s="103"/>
      <c r="L35" s="103"/>
      <c r="M35" s="103"/>
      <c r="N35" s="103"/>
      <c r="O35" s="103"/>
    </row>
    <row collapsed="false" customFormat="false" customHeight="true" hidden="false" ht="19.5" outlineLevel="0" r="64">
      <c r="F64" s="103" t="s">
        <v>130</v>
      </c>
      <c r="G64" s="103"/>
      <c r="H64" s="103"/>
      <c r="I64" s="103"/>
      <c r="J64" s="103"/>
      <c r="K64" s="103"/>
      <c r="L64" s="103"/>
      <c r="M64" s="103"/>
      <c r="N64" s="103"/>
      <c r="O64" s="103"/>
    </row>
    <row collapsed="false" customFormat="false" customHeight="true" hidden="false" ht="19.5" outlineLevel="0" r="65">
      <c r="F65" s="103"/>
      <c r="G65" s="103"/>
      <c r="H65" s="103"/>
      <c r="I65" s="103"/>
      <c r="J65" s="103"/>
      <c r="K65" s="103"/>
      <c r="L65" s="103"/>
      <c r="M65" s="103"/>
      <c r="N65" s="103"/>
      <c r="O65" s="103"/>
    </row>
    <row collapsed="false" customFormat="false" customHeight="true" hidden="false" ht="19.5" outlineLevel="0" r="94">
      <c r="F94" s="103" t="s">
        <v>131</v>
      </c>
      <c r="G94" s="103"/>
      <c r="H94" s="103"/>
      <c r="I94" s="103"/>
      <c r="J94" s="103"/>
      <c r="K94" s="103"/>
      <c r="L94" s="103"/>
      <c r="M94" s="103"/>
      <c r="N94" s="103"/>
      <c r="O94" s="103"/>
    </row>
  </sheetData>
  <mergeCells count="6">
    <mergeCell ref="B2:D2"/>
    <mergeCell ref="E2:F2"/>
    <mergeCell ref="F4:O5"/>
    <mergeCell ref="F34:O35"/>
    <mergeCell ref="F64:O65"/>
    <mergeCell ref="F94:O95"/>
  </mergeCells>
  <dataValidations count="1">
    <dataValidation allowBlank="true" operator="between" showDropDown="false" showErrorMessage="true" showInputMessage="true" sqref="E2:F2" type="list">
      <formula1>"1x1 11n,1x2 11n,2x2 11n,2x3 11n,3x3 11n,All 11n,All"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F3:M33"/>
  <sheetViews>
    <sheetView colorId="64" defaultGridColor="true" rightToLeft="false" showFormulas="false" showGridLines="true" showOutlineSymbols="true" showRowColHeaders="true" showZeros="true" tabSelected="false" topLeftCell="A1" view="normal" windowProtection="false" workbookViewId="0" zoomScale="100" zoomScaleNormal="100" zoomScalePageLayoutView="100">
      <pane activePane="topLeft" topLeftCell="A1" xSplit="0" ySplit="-1"/>
      <selection activeCell="S24" activeCellId="0" pane="topLeft" sqref="S24"/>
      <selection activeCell="A1" activeCellId="0" pane="bottomLeft" sqref="A1"/>
    </sheetView>
  </sheetViews>
  <cols>
    <col collapsed="false" hidden="false" max="1025" min="1" style="0" width="9.18039215686274"/>
  </cols>
  <sheetData>
    <row collapsed="false" customFormat="false" customHeight="true" hidden="false" ht="19.5" outlineLevel="0" r="3">
      <c r="F3" s="103" t="s">
        <v>128</v>
      </c>
      <c r="G3" s="103"/>
      <c r="H3" s="103"/>
      <c r="I3" s="103"/>
      <c r="J3" s="103"/>
      <c r="K3" s="103"/>
      <c r="L3" s="103"/>
      <c r="M3" s="103"/>
    </row>
    <row collapsed="false" customFormat="false" customHeight="true" hidden="false" ht="19.5" outlineLevel="0" r="4">
      <c r="F4" s="103"/>
      <c r="G4" s="103"/>
      <c r="H4" s="103"/>
      <c r="I4" s="103"/>
      <c r="J4" s="103"/>
      <c r="K4" s="103"/>
      <c r="L4" s="103"/>
      <c r="M4" s="103"/>
    </row>
    <row collapsed="false" customFormat="false" customHeight="true" hidden="false" ht="19.5" outlineLevel="0" r="33">
      <c r="F33" s="103" t="s">
        <v>132</v>
      </c>
      <c r="G33" s="103"/>
      <c r="H33" s="103"/>
      <c r="I33" s="103"/>
      <c r="J33" s="103"/>
      <c r="K33" s="103"/>
      <c r="L33" s="103"/>
      <c r="M33" s="103"/>
    </row>
  </sheetData>
  <mergeCells count="2">
    <mergeCell ref="F3:M4"/>
    <mergeCell ref="F33:M34"/>
  </mergeCells>
  <printOptions headings="false" gridLines="false" gridLinesSet="true" horizontalCentered="false" verticalCentered="false"/>
  <pageMargins left="0.7" right="0.7" top="0.75" bottom="0.75" header="0.511805555555555" footer="0.511805555555555"/>
  <pageSetup blackAndWhite="false" cellComments="none" copies="1" draft="false" firstPageNumber="0" fitToHeight="1" fitToWidth="1" horizontalDpi="300" orientation="portrait" pageOrder="downThenOver" paperSize="1" scale="100" useFirstPageNumber="false" usePrinterDefaults="false" verticalDpi="300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revision>0</cp:revision>
</cp:coreProperties>
</file>